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hidePivotFieldList="1"/>
  <mc:AlternateContent xmlns:mc="http://schemas.openxmlformats.org/markup-compatibility/2006">
    <mc:Choice Requires="x15">
      <x15ac:absPath xmlns:x15ac="http://schemas.microsoft.com/office/spreadsheetml/2010/11/ac" url="C:\Users\Shubham\OneDrive\Documents\CBRI\"/>
    </mc:Choice>
  </mc:AlternateContent>
  <xr:revisionPtr revIDLastSave="0" documentId="13_ncr:1_{FC1917D3-D39B-4A47-8299-F6AE663E4355}" xr6:coauthVersionLast="47" xr6:coauthVersionMax="47" xr10:uidLastSave="{00000000-0000-0000-0000-000000000000}"/>
  <bookViews>
    <workbookView xWindow="-108" yWindow="-108" windowWidth="23256" windowHeight="12456" activeTab="2" xr2:uid="{AF6E75A5-3BBD-4A29-A520-BE7A49A2FD90}"/>
  </bookViews>
  <sheets>
    <sheet name="Summary" sheetId="7" r:id="rId1"/>
    <sheet name="Sheet4" sheetId="9" r:id="rId2"/>
    <sheet name="Dashboard" sheetId="10" r:id="rId3"/>
    <sheet name="Sheet1" sheetId="1" r:id="rId4"/>
    <sheet name="Sheet3" sheetId="11" r:id="rId5"/>
    <sheet name="NewSheet" sheetId="13" r:id="rId6"/>
  </sheets>
  <definedNames>
    <definedName name="Product_ID">Sheet1!$B$4:$B$42</definedName>
    <definedName name="Slicer_Product_Name">#N/A</definedName>
  </definedNames>
  <calcPr calcId="191029"/>
  <pivotCaches>
    <pivotCache cacheId="0" r:id="rId7"/>
  </pivotCaches>
  <extLst>
    <ext xmlns:x14="http://schemas.microsoft.com/office/spreadsheetml/2009/9/main" uri="{BBE1A952-AA13-448e-AADC-164F8A28A991}">
      <x14:slicerCaches>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4" i="1" l="1"/>
  <c r="K56" i="1" a="1"/>
  <c r="K56" i="1" s="1"/>
  <c r="L6" i="1" l="1"/>
  <c r="L7" i="1"/>
  <c r="L8" i="1"/>
  <c r="L9" i="1"/>
  <c r="L10" i="1"/>
  <c r="L11" i="1"/>
  <c r="L12" i="1"/>
  <c r="L13" i="1"/>
  <c r="L14" i="1"/>
  <c r="L15" i="1"/>
  <c r="L16" i="1"/>
  <c r="L17" i="1"/>
  <c r="L18" i="1"/>
  <c r="L19" i="1"/>
  <c r="L20" i="1"/>
  <c r="L21" i="1"/>
  <c r="L22" i="1"/>
  <c r="L23" i="1"/>
  <c r="L24" i="1"/>
  <c r="L25" i="1"/>
  <c r="L26" i="1"/>
  <c r="L27" i="1"/>
  <c r="L28" i="1"/>
  <c r="L29" i="1"/>
  <c r="L30" i="1"/>
  <c r="L31" i="1"/>
  <c r="L32" i="1"/>
  <c r="L33" i="1"/>
  <c r="L34" i="1"/>
  <c r="L35" i="1"/>
  <c r="L36" i="1"/>
  <c r="L37" i="1"/>
  <c r="L38" i="1"/>
  <c r="L39" i="1"/>
  <c r="L40" i="1"/>
  <c r="L41" i="1"/>
  <c r="L42" i="1"/>
  <c r="L5" i="1"/>
  <c r="L4" i="1"/>
  <c r="K26" i="1"/>
  <c r="K27" i="1"/>
  <c r="K28" i="1"/>
  <c r="K29" i="1"/>
  <c r="K30" i="1"/>
  <c r="K31" i="1"/>
  <c r="K32" i="1"/>
  <c r="K33" i="1"/>
  <c r="K34" i="1"/>
  <c r="K35" i="1"/>
  <c r="K36" i="1"/>
  <c r="K37" i="1"/>
  <c r="K38" i="1"/>
  <c r="K39" i="1"/>
  <c r="K40" i="1"/>
  <c r="K41" i="1"/>
  <c r="K42" i="1"/>
  <c r="K25" i="1"/>
  <c r="K24" i="1"/>
  <c r="K5" i="1"/>
  <c r="K6" i="1"/>
  <c r="K7" i="1"/>
  <c r="K8" i="1"/>
  <c r="K9" i="1"/>
  <c r="K10" i="1"/>
  <c r="K11" i="1"/>
  <c r="K12" i="1"/>
  <c r="K13" i="1"/>
  <c r="K14" i="1"/>
  <c r="K15" i="1"/>
  <c r="K16" i="1"/>
  <c r="K17" i="1"/>
  <c r="K18" i="1"/>
  <c r="K19" i="1"/>
  <c r="K20" i="1"/>
  <c r="K21" i="1"/>
  <c r="K22" i="1"/>
  <c r="K23" i="1"/>
  <c r="K4" i="1"/>
  <c r="M25" i="1" l="1"/>
  <c r="P26" i="1" s="1"/>
  <c r="G56" i="1" a="1"/>
  <c r="G56" i="1" s="1"/>
  <c r="M14" i="1"/>
  <c r="M5" i="1"/>
  <c r="M24" i="1"/>
  <c r="L43" i="1"/>
  <c r="M21" i="1"/>
  <c r="M9" i="1"/>
  <c r="M37" i="1"/>
  <c r="M36" i="1"/>
  <c r="M35" i="1"/>
  <c r="M34" i="1"/>
  <c r="M17" i="1"/>
  <c r="M20" i="1"/>
  <c r="M8" i="1"/>
  <c r="M19" i="1"/>
  <c r="M7" i="1"/>
  <c r="M18" i="1"/>
  <c r="M6" i="1"/>
  <c r="M16" i="1"/>
  <c r="M32" i="1"/>
  <c r="M15" i="1"/>
  <c r="M31" i="1"/>
  <c r="M42" i="1"/>
  <c r="M30" i="1"/>
  <c r="M13" i="1"/>
  <c r="M41" i="1"/>
  <c r="M29" i="1"/>
  <c r="K43" i="1"/>
  <c r="M12" i="1"/>
  <c r="M40" i="1"/>
  <c r="M28" i="1"/>
  <c r="M23" i="1"/>
  <c r="M11" i="1"/>
  <c r="M39" i="1"/>
  <c r="M27" i="1"/>
  <c r="P28" i="1" s="1"/>
  <c r="M22" i="1"/>
  <c r="M10" i="1"/>
  <c r="M38" i="1"/>
  <c r="M26" i="1"/>
  <c r="M33" i="1"/>
  <c r="M4" i="1"/>
  <c r="N9" i="1" l="1"/>
  <c r="N6" i="1"/>
  <c r="O4" i="1" a="1"/>
  <c r="O4" i="1" s="1"/>
  <c r="S4" i="1"/>
  <c r="N4" i="1"/>
  <c r="N7" i="1"/>
  <c r="S5" i="1"/>
  <c r="N5" i="1"/>
  <c r="S6" i="1"/>
  <c r="S7" i="1"/>
  <c r="S8" i="1"/>
  <c r="N8" i="1"/>
  <c r="S9" i="1"/>
  <c r="T6" i="1"/>
  <c r="T7" i="1"/>
  <c r="T5" i="1"/>
  <c r="T8" i="1"/>
  <c r="T9" i="1"/>
  <c r="T4" i="1"/>
  <c r="P41" i="1"/>
  <c r="R40" i="1"/>
  <c r="C51" i="1" a="1"/>
  <c r="C51" i="1" s="1"/>
  <c r="R6" i="1"/>
  <c r="P22" i="1"/>
  <c r="R21" i="1"/>
  <c r="P5" i="1"/>
  <c r="R4" i="1"/>
  <c r="P13" i="1"/>
  <c r="R12" i="1"/>
  <c r="P19" i="1"/>
  <c r="R18" i="1"/>
  <c r="P34" i="1"/>
  <c r="R33" i="1"/>
  <c r="P8" i="1"/>
  <c r="R7" i="1"/>
  <c r="P25" i="1"/>
  <c r="R24" i="1"/>
  <c r="P27" i="1"/>
  <c r="R26" i="1"/>
  <c r="P30" i="1"/>
  <c r="R29" i="1"/>
  <c r="P20" i="1"/>
  <c r="R19" i="1"/>
  <c r="P6" i="1"/>
  <c r="R5" i="1"/>
  <c r="P39" i="1"/>
  <c r="R38" i="1"/>
  <c r="P42" i="1"/>
  <c r="R41" i="1"/>
  <c r="P9" i="1"/>
  <c r="R8" i="1"/>
  <c r="P15" i="1"/>
  <c r="R14" i="1"/>
  <c r="C48" i="1" a="1"/>
  <c r="R10" i="1"/>
  <c r="P14" i="1"/>
  <c r="R13" i="1"/>
  <c r="P21" i="1"/>
  <c r="R20" i="1"/>
  <c r="P23" i="1"/>
  <c r="R22" i="1"/>
  <c r="P31" i="1"/>
  <c r="R30" i="1"/>
  <c r="P18" i="1"/>
  <c r="R17" i="1"/>
  <c r="P40" i="1"/>
  <c r="R39" i="1"/>
  <c r="P32" i="1"/>
  <c r="R31" i="1"/>
  <c r="P36" i="1"/>
  <c r="R35" i="1"/>
  <c r="Q25" i="1"/>
  <c r="R25" i="1"/>
  <c r="Q27" i="1"/>
  <c r="R27" i="1"/>
  <c r="Q42" i="1"/>
  <c r="R42" i="1"/>
  <c r="Q34" i="1"/>
  <c r="R34" i="1"/>
  <c r="P12" i="1"/>
  <c r="R11" i="1"/>
  <c r="P16" i="1"/>
  <c r="R15" i="1"/>
  <c r="P37" i="1"/>
  <c r="R36" i="1"/>
  <c r="Q21" i="1"/>
  <c r="P24" i="1"/>
  <c r="R23" i="1"/>
  <c r="P33" i="1"/>
  <c r="R32" i="1"/>
  <c r="P38" i="1"/>
  <c r="R37" i="1"/>
  <c r="Q31" i="1"/>
  <c r="P29" i="1"/>
  <c r="R28" i="1"/>
  <c r="P17" i="1"/>
  <c r="R16" i="1"/>
  <c r="P10" i="1"/>
  <c r="R9" i="1"/>
  <c r="Q28" i="1"/>
  <c r="Q13" i="1"/>
  <c r="Q15" i="1"/>
  <c r="Q6" i="1"/>
  <c r="Q23" i="1"/>
  <c r="Q8" i="1"/>
  <c r="Q30" i="1"/>
  <c r="Q20" i="1"/>
  <c r="Q37" i="1"/>
  <c r="Q32" i="1"/>
  <c r="Q9" i="1"/>
  <c r="Q16" i="1"/>
  <c r="Q26" i="1"/>
  <c r="Q33" i="1"/>
  <c r="Q14" i="1"/>
  <c r="P35" i="1"/>
  <c r="Q10" i="1"/>
  <c r="Q17" i="1"/>
  <c r="Q11" i="1"/>
  <c r="Q36" i="1"/>
  <c r="Q35" i="1"/>
  <c r="Q40" i="1"/>
  <c r="Q38" i="1"/>
  <c r="Q5" i="1"/>
  <c r="Q7" i="1"/>
  <c r="Q4" i="1"/>
  <c r="Q22" i="1"/>
  <c r="Q12" i="1"/>
  <c r="Q41" i="1"/>
  <c r="Q24" i="1"/>
  <c r="Q19" i="1"/>
  <c r="Q29" i="1"/>
  <c r="Q39" i="1"/>
  <c r="Q18" i="1"/>
  <c r="P11" i="1"/>
  <c r="P7" i="1"/>
  <c r="M43" i="1"/>
  <c r="T33" i="1" l="1"/>
  <c r="S38" i="1"/>
  <c r="S25" i="1"/>
  <c r="S37" i="1"/>
  <c r="S24" i="1"/>
  <c r="T34" i="1"/>
  <c r="S41" i="1"/>
  <c r="T36" i="1"/>
  <c r="S26" i="1"/>
  <c r="T35" i="1"/>
  <c r="T26" i="1"/>
  <c r="S11" i="1"/>
  <c r="T25" i="1"/>
  <c r="T29" i="1"/>
  <c r="S15" i="1"/>
  <c r="S12" i="1"/>
  <c r="T16" i="1"/>
  <c r="T14" i="1"/>
  <c r="T17" i="1"/>
  <c r="T24" i="1"/>
  <c r="T42" i="1"/>
  <c r="S40" i="1"/>
  <c r="S13" i="1"/>
  <c r="T18" i="1"/>
  <c r="S27" i="1"/>
  <c r="S10" i="1"/>
  <c r="T41" i="1"/>
  <c r="S35" i="1"/>
  <c r="T31" i="1"/>
  <c r="T11" i="1"/>
  <c r="T27" i="1"/>
  <c r="S34" i="1"/>
  <c r="S21" i="1"/>
  <c r="N13" i="1"/>
  <c r="T23" i="1"/>
  <c r="S23" i="1"/>
  <c r="T12" i="1"/>
  <c r="S32" i="1"/>
  <c r="T28" i="1"/>
  <c r="T21" i="1"/>
  <c r="S33" i="1"/>
  <c r="N15" i="1"/>
  <c r="T20" i="1"/>
  <c r="N14" i="1"/>
  <c r="T32" i="1"/>
  <c r="T13" i="1"/>
  <c r="S30" i="1"/>
  <c r="N12" i="1"/>
  <c r="S18" i="1"/>
  <c r="C48" i="1"/>
  <c r="S42" i="1"/>
  <c r="T30" i="1"/>
  <c r="N10" i="1"/>
  <c r="T22" i="1"/>
  <c r="S20" i="1"/>
  <c r="S19" i="1"/>
  <c r="T10" i="1"/>
  <c r="T40" i="1"/>
  <c r="T15" i="1"/>
  <c r="T39" i="1"/>
  <c r="S29" i="1"/>
  <c r="S14" i="1"/>
  <c r="S17" i="1"/>
  <c r="N11" i="1"/>
  <c r="T38" i="1"/>
  <c r="S36" i="1"/>
  <c r="S22" i="1"/>
  <c r="T19" i="1"/>
  <c r="T37" i="1"/>
  <c r="S28" i="1"/>
  <c r="S16" i="1"/>
  <c r="S39" i="1"/>
  <c r="S31" i="1"/>
  <c r="V4" i="1" a="1"/>
  <c r="V4" i="1" s="1"/>
  <c r="C56" i="1" a="1"/>
  <c r="N17" i="1" l="1"/>
  <c r="N29" i="1"/>
  <c r="N41" i="1"/>
  <c r="N30" i="1"/>
  <c r="N42" i="1"/>
  <c r="N31" i="1"/>
  <c r="N22" i="1"/>
  <c r="N34" i="1"/>
  <c r="N23" i="1"/>
  <c r="N35" i="1"/>
  <c r="N24" i="1"/>
  <c r="N36" i="1"/>
  <c r="N25" i="1"/>
  <c r="N37" i="1"/>
  <c r="N26" i="1"/>
  <c r="N38" i="1"/>
  <c r="N27" i="1"/>
  <c r="N39" i="1"/>
  <c r="N28" i="1"/>
  <c r="N40" i="1"/>
  <c r="N18" i="1"/>
  <c r="N19" i="1"/>
  <c r="N20" i="1"/>
  <c r="N32" i="1"/>
  <c r="N16" i="1"/>
  <c r="N21" i="1"/>
  <c r="N33" i="1"/>
  <c r="C56"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<sst xmlns="http://schemas.openxmlformats.org/spreadsheetml/2006/main" count="362" uniqueCount="204">
  <si>
    <t>Product ID</t>
  </si>
  <si>
    <t>Product Name</t>
  </si>
  <si>
    <t>Qty Sold</t>
  </si>
  <si>
    <t>Ram Traders</t>
  </si>
  <si>
    <t>Seller Name</t>
  </si>
  <si>
    <t xml:space="preserve">Rajesh </t>
  </si>
  <si>
    <t>Shivam</t>
  </si>
  <si>
    <t>Sethi</t>
  </si>
  <si>
    <t>Rahul</t>
  </si>
  <si>
    <t>Aman</t>
  </si>
  <si>
    <t>Sohan</t>
  </si>
  <si>
    <t>Chandu</t>
  </si>
  <si>
    <t>Rohan</t>
  </si>
  <si>
    <t>Sonu</t>
  </si>
  <si>
    <t>Size in Inch</t>
  </si>
  <si>
    <t>T Shirt(M)</t>
  </si>
  <si>
    <t>T Shirt(L)</t>
  </si>
  <si>
    <t>Sweety</t>
  </si>
  <si>
    <t>Deepak</t>
  </si>
  <si>
    <t>Ravi</t>
  </si>
  <si>
    <t>Shyamu</t>
  </si>
  <si>
    <t>Kapil</t>
  </si>
  <si>
    <t>Panuli</t>
  </si>
  <si>
    <t>Neeraj</t>
  </si>
  <si>
    <t>Pankaj</t>
  </si>
  <si>
    <t>Dheeraj</t>
  </si>
  <si>
    <t>T Shirt (XL)</t>
  </si>
  <si>
    <t>Prakash.N</t>
  </si>
  <si>
    <t>Anju.S</t>
  </si>
  <si>
    <t>Preetam.S</t>
  </si>
  <si>
    <t>Kulwant.S</t>
  </si>
  <si>
    <t>Pradeep.K</t>
  </si>
  <si>
    <t>Vineet.G</t>
  </si>
  <si>
    <t>Ram T</t>
  </si>
  <si>
    <t>Tota Ram</t>
  </si>
  <si>
    <t>Kalyan.S</t>
  </si>
  <si>
    <t>Raghuvir.S</t>
  </si>
  <si>
    <t>V.R.Sharma</t>
  </si>
  <si>
    <t>Manf.Cost</t>
  </si>
  <si>
    <t>Tailor.Cost</t>
  </si>
  <si>
    <t>Total S.Price</t>
  </si>
  <si>
    <t>Profit Margin</t>
  </si>
  <si>
    <t>C.P.per Unit</t>
  </si>
  <si>
    <t>S.P.Per Unit</t>
  </si>
  <si>
    <t>Total C.Price</t>
  </si>
  <si>
    <t>SUMIFS</t>
  </si>
  <si>
    <t>VLOOKUP</t>
  </si>
  <si>
    <t>INDEX+MATCH</t>
  </si>
  <si>
    <t>XLOOKUP</t>
  </si>
  <si>
    <t>Selling Price</t>
  </si>
  <si>
    <t>Quantity Sold</t>
  </si>
  <si>
    <t>C.P.Per Unit</t>
  </si>
  <si>
    <t>XLOOKUP+CHOOSE</t>
  </si>
  <si>
    <t>Row Labels</t>
  </si>
  <si>
    <t>Grand Total</t>
  </si>
  <si>
    <t>Sheet1</t>
  </si>
  <si>
    <t>Sheet2</t>
  </si>
  <si>
    <t>ID -101</t>
  </si>
  <si>
    <t>ID -102</t>
  </si>
  <si>
    <t>ID -103</t>
  </si>
  <si>
    <t>ID -104</t>
  </si>
  <si>
    <t>ID -105</t>
  </si>
  <si>
    <t>ID -106</t>
  </si>
  <si>
    <t>ID -107</t>
  </si>
  <si>
    <t>ID -108</t>
  </si>
  <si>
    <t>ID -109</t>
  </si>
  <si>
    <t>ID -110</t>
  </si>
  <si>
    <t>ID -111</t>
  </si>
  <si>
    <t>ID -112</t>
  </si>
  <si>
    <t>ID -113</t>
  </si>
  <si>
    <t>ID -114</t>
  </si>
  <si>
    <t>ID -115</t>
  </si>
  <si>
    <t>ID -116</t>
  </si>
  <si>
    <t>ID -117</t>
  </si>
  <si>
    <t>ID -118</t>
  </si>
  <si>
    <t>ID -119</t>
  </si>
  <si>
    <t>ID -120</t>
  </si>
  <si>
    <t>ID -121</t>
  </si>
  <si>
    <t>ID -122</t>
  </si>
  <si>
    <t>ID -123</t>
  </si>
  <si>
    <t>ID -124</t>
  </si>
  <si>
    <t>ID -125</t>
  </si>
  <si>
    <t>ID -126</t>
  </si>
  <si>
    <t>ID -127</t>
  </si>
  <si>
    <t>ID -128</t>
  </si>
  <si>
    <t>ID -129</t>
  </si>
  <si>
    <t>ID -130</t>
  </si>
  <si>
    <t>ID -131</t>
  </si>
  <si>
    <t>ID -132</t>
  </si>
  <si>
    <t>ID -133</t>
  </si>
  <si>
    <t>ID -134</t>
  </si>
  <si>
    <t>ID -135</t>
  </si>
  <si>
    <t>ID -136</t>
  </si>
  <si>
    <t>ID -137</t>
  </si>
  <si>
    <t>ID -138</t>
  </si>
  <si>
    <t>ID -139</t>
  </si>
  <si>
    <t xml:space="preserve">      PARAS MANUFACTURING CORPORATIONS</t>
  </si>
  <si>
    <t>ID</t>
  </si>
  <si>
    <t>Sum of Total S.Price</t>
  </si>
  <si>
    <t>Sum of Total C.Price</t>
  </si>
  <si>
    <t>Sum of Profit Margin</t>
  </si>
  <si>
    <t>ProducD</t>
  </si>
  <si>
    <t>IF+AND</t>
  </si>
  <si>
    <t>Seller.N</t>
  </si>
  <si>
    <t>Sale Level</t>
  </si>
  <si>
    <t>Sale Quant</t>
  </si>
  <si>
    <t>IF+OR</t>
  </si>
  <si>
    <t>AverageIFS</t>
  </si>
  <si>
    <t>SUMIFS+(Asteric)</t>
  </si>
  <si>
    <t>Category</t>
  </si>
  <si>
    <t>Shortcut</t>
  </si>
  <si>
    <t>Action</t>
  </si>
  <si>
    <t>Basic</t>
  </si>
  <si>
    <t>Ctrl + N</t>
  </si>
  <si>
    <t>New workbook</t>
  </si>
  <si>
    <t>Ctrl + O</t>
  </si>
  <si>
    <t>Open workbook</t>
  </si>
  <si>
    <t>Ctrl + S</t>
  </si>
  <si>
    <t>Save</t>
  </si>
  <si>
    <t>F12</t>
  </si>
  <si>
    <t>Save As</t>
  </si>
  <si>
    <t>Ctrl + P</t>
  </si>
  <si>
    <t>Print</t>
  </si>
  <si>
    <t>Ctrl + W</t>
  </si>
  <si>
    <t>Close workbook</t>
  </si>
  <si>
    <t>Ctrl + Z / Ctrl + Y</t>
  </si>
  <si>
    <t>Undo / Redo</t>
  </si>
  <si>
    <t>Navigation</t>
  </si>
  <si>
    <t>Ctrl + Arrow Keys</t>
  </si>
  <si>
    <t>Jump to edge of data region</t>
  </si>
  <si>
    <t>Ctrl + Home</t>
  </si>
  <si>
    <t>Go to A1</t>
  </si>
  <si>
    <t>Ctrl + End</t>
  </si>
  <si>
    <t>Go to last used cell</t>
  </si>
  <si>
    <t>Page Up / Page Down</t>
  </si>
  <si>
    <t>Move screen up/down</t>
  </si>
  <si>
    <t>Alt + Page Up / Page Down</t>
  </si>
  <si>
    <t>Move screen left/right</t>
  </si>
  <si>
    <t>Selection</t>
  </si>
  <si>
    <t>Shift + Arrow Keys</t>
  </si>
  <si>
    <t>Extend selection</t>
  </si>
  <si>
    <t>Ctrl + Shift + Arrow Keys</t>
  </si>
  <si>
    <t>Select data range in direction</t>
  </si>
  <si>
    <t>Ctrl + Space</t>
  </si>
  <si>
    <t>Select column</t>
  </si>
  <si>
    <t>Shift + Space</t>
  </si>
  <si>
    <t>Select row</t>
  </si>
  <si>
    <t>Ctrl + A</t>
  </si>
  <si>
    <t>Select all</t>
  </si>
  <si>
    <t>Editing</t>
  </si>
  <si>
    <t>F2</t>
  </si>
  <si>
    <t>Edit active cell</t>
  </si>
  <si>
    <t>Ctrl + D</t>
  </si>
  <si>
    <t>Fill down</t>
  </si>
  <si>
    <t>Ctrl + R</t>
  </si>
  <si>
    <t>Fill right</t>
  </si>
  <si>
    <t>Alt + Enter</t>
  </si>
  <si>
    <t>Line break in cell</t>
  </si>
  <si>
    <t>Delete</t>
  </si>
  <si>
    <t>Clear content</t>
  </si>
  <si>
    <t>Formatting</t>
  </si>
  <si>
    <t>Ctrl + 1</t>
  </si>
  <si>
    <t>Format cells dialog</t>
  </si>
  <si>
    <t>Ctrl + B / I / U</t>
  </si>
  <si>
    <t>Bold / Italic / Underline</t>
  </si>
  <si>
    <t>Ctrl + 5</t>
  </si>
  <si>
    <t>Strikethrough</t>
  </si>
  <si>
    <t>Ctrl + Shift + $</t>
  </si>
  <si>
    <t>Currency format</t>
  </si>
  <si>
    <t>Ctrl + Shift + %</t>
  </si>
  <si>
    <t>Percentage format</t>
  </si>
  <si>
    <t>Ctrl + Shift + #</t>
  </si>
  <si>
    <t>Date format</t>
  </si>
  <si>
    <t>Formulas</t>
  </si>
  <si>
    <t>=</t>
  </si>
  <si>
    <t>Start formula</t>
  </si>
  <si>
    <t>Alt + =</t>
  </si>
  <si>
    <t>AutoSum</t>
  </si>
  <si>
    <t>Ctrl + `</t>
  </si>
  <si>
    <t>Show formulas</t>
  </si>
  <si>
    <t>F4</t>
  </si>
  <si>
    <t>Toggle absolute/relative reference</t>
  </si>
  <si>
    <t>Special</t>
  </si>
  <si>
    <t>Ctrl + T</t>
  </si>
  <si>
    <t>Convert range into table</t>
  </si>
  <si>
    <t>Ctrl + Shift + L</t>
  </si>
  <si>
    <t>Toggle filters</t>
  </si>
  <si>
    <t>Ctrl + Shift + “+”</t>
  </si>
  <si>
    <t>Insert row/column</t>
  </si>
  <si>
    <t>Ctrl + “-”</t>
  </si>
  <si>
    <t>Delete row/column</t>
  </si>
  <si>
    <t>Alt + E + S + V</t>
  </si>
  <si>
    <t>Paste Special → Values</t>
  </si>
  <si>
    <t>Total CP</t>
  </si>
  <si>
    <t>Total SP</t>
  </si>
  <si>
    <t>SP per unit</t>
  </si>
  <si>
    <t>SoldQuantity</t>
  </si>
  <si>
    <t>C.P. PerUnit</t>
  </si>
  <si>
    <t>Tailor cost</t>
  </si>
  <si>
    <t>Manuf.Cost</t>
  </si>
  <si>
    <t>Tshirt Size</t>
  </si>
  <si>
    <t>Tailor Cost</t>
  </si>
  <si>
    <t>Formula Name</t>
  </si>
  <si>
    <t>ID List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</si>
</sst>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4009]\ * #,##0.0_ ;_ [$₹-4009]\ * \-#,##0.0_ ;_ [$₹-4009]\ * &quot;-&quot;??_ ;_ @_ "/>
    <numFmt numFmtId="165" formatCode="_ [$₹-4009]\ * #,##0.0_ ;_ [$₹-4009]\ * \-#,##0.0_ ;_ [$₹-4009]\ * &quot;-&quot;?_ ;_ @_ "/>
    <numFmt numFmtId="166" formatCode="_ [$₹-4009]\ * #,##0_ ;_ [$₹-4009]\ * \-#,##0_ ;_ [$₹-4009]\ * &quot;-&quot;??_ ;_ @_ "/>
  </numFmts>
  <fonts count="19" x14ac:knownFonts="1">
    <font>
      <sz val="14"/>
      <color theme="1"/>
      <name val="Gill Sans MT"/>
      <family val="2"/>
      <scheme val="minor"/>
    </font>
    <font>
      <sz val="11"/>
      <color theme="1"/>
      <name val="Gill Sans MT"/>
      <family val="2"/>
      <scheme val="minor"/>
    </font>
    <font>
      <sz val="11"/>
      <color theme="1"/>
      <name val="Gill Sans MT"/>
      <family val="2"/>
      <scheme val="minor"/>
    </font>
    <font>
      <sz val="8"/>
      <name val="Gill Sans MT"/>
      <family val="2"/>
      <scheme val="minor"/>
    </font>
    <font>
      <b/>
      <sz val="14"/>
      <color theme="1"/>
      <name val="Times New Roman"/>
      <family val="1"/>
    </font>
    <font>
      <sz val="14"/>
      <color theme="1"/>
      <name val="Times New Roman"/>
      <family val="1"/>
    </font>
    <font>
      <sz val="14"/>
      <color rgb="FF0070C0"/>
      <name val="Times New Roman"/>
      <family val="1"/>
    </font>
    <font>
      <sz val="14"/>
      <color rgb="FFFF0000"/>
      <name val="Times New Roman"/>
      <family val="1"/>
    </font>
    <font>
      <sz val="14"/>
      <color theme="5" tint="-0.249977111117893"/>
      <name val="Times New Roman"/>
      <family val="1"/>
    </font>
    <font>
      <b/>
      <sz val="11"/>
      <color theme="3"/>
      <name val="Gill Sans MT"/>
      <family val="2"/>
      <scheme val="minor"/>
    </font>
    <font>
      <b/>
      <sz val="13"/>
      <color theme="3"/>
      <name val="Gill Sans MT"/>
      <family val="2"/>
      <scheme val="minor"/>
    </font>
    <font>
      <b/>
      <sz val="14"/>
      <color theme="9" tint="-0.499984740745262"/>
      <name val="Gill Sans MT"/>
      <family val="2"/>
      <scheme val="minor"/>
    </font>
    <font>
      <b/>
      <sz val="14"/>
      <color theme="9" tint="-0.499984740745262"/>
      <name val="Times New Roman"/>
      <family val="1"/>
    </font>
    <font>
      <sz val="14"/>
      <color rgb="FF000000"/>
      <name val="Calibri"/>
      <family val="2"/>
    </font>
    <font>
      <sz val="14"/>
      <color theme="1"/>
      <name val="Gill Sans MT"/>
      <family val="2"/>
      <scheme val="minor"/>
    </font>
    <font>
      <sz val="18"/>
      <color theme="3"/>
      <name val="Gill Sans MT"/>
      <family val="2"/>
      <scheme val="major"/>
    </font>
    <font>
      <b/>
      <sz val="16"/>
      <color theme="1"/>
      <name val="Gill Sans MT"/>
      <family val="2"/>
      <scheme val="minor"/>
    </font>
    <font>
      <sz val="18"/>
      <color rgb="FF7030A0"/>
      <name val="Gill Sans MT"/>
      <family val="2"/>
      <scheme val="major"/>
    </font>
    <font>
      <b/>
      <sz val="13"/>
      <color rgb="FF7030A0"/>
      <name val="Gill Sans MT"/>
      <family val="2"/>
      <scheme val="minor"/>
    </font>
  </fonts>
  <fills count="10">
    <fill>
      <patternFill patternType="none"/>
    </fill>
    <fill>
      <patternFill patternType="gray125"/>
    </fill>
    <fill>
      <patternFill patternType="solid">
        <fgColor rgb="FFFFFF00"/>
        <bgColor indexed="64"/>
      </patternFill>
    </fill>
    <fill>
      <patternFill patternType="solid">
        <fgColor rgb="FF00B0F0"/>
        <bgColor indexed="64"/>
      </patternFill>
    </fill>
    <fill>
      <patternFill patternType="solid">
        <fgColor rgb="FFFFFFCC"/>
      </patternFill>
    </fill>
    <fill>
      <patternFill patternType="solid">
        <fgColor theme="9" tint="0.39997558519241921"/>
        <bgColor indexed="65"/>
      </patternFill>
    </fill>
    <fill>
      <patternFill patternType="solid">
        <fgColor theme="7"/>
        <bgColor indexed="64"/>
      </patternFill>
    </fill>
    <fill>
      <patternFill patternType="solid">
        <fgColor rgb="FFC6EFCE"/>
        <bgColor indexed="64"/>
      </patternFill>
    </fill>
    <fill>
      <patternFill patternType="solid">
        <fgColor theme="5" tint="0.79998168889431442"/>
        <bgColor indexed="64"/>
      </patternFill>
    </fill>
    <fill>
      <patternFill patternType="solid">
        <fgColor theme="5" tint="0.59999389629810485"/>
        <bgColor indexed="65"/>
      </patternFill>
    </fill>
  </fills>
  <borders count="2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top style="medium">
        <color indexed="64"/>
      </top>
      <bottom style="medium">
        <color indexed="64"/>
      </bottom>
      <diagonal/>
    </border>
    <border>
      <left/>
      <right/>
      <top/>
      <bottom style="thick">
        <color theme="4" tint="0.499984740745262"/>
      </bottom>
      <diagonal/>
    </border>
    <border>
      <left style="medium">
        <color indexed="64"/>
      </left>
      <right/>
      <top style="medium">
        <color indexed="64"/>
      </top>
      <bottom style="thick">
        <color theme="4" tint="0.499984740745262"/>
      </bottom>
      <diagonal/>
    </border>
    <border>
      <left/>
      <right/>
      <top style="medium">
        <color indexed="64"/>
      </top>
      <bottom style="thick">
        <color theme="4" tint="0.499984740745262"/>
      </bottom>
      <diagonal/>
    </border>
    <border>
      <left/>
      <right style="medium">
        <color indexed="64"/>
      </right>
      <top style="medium">
        <color indexed="64"/>
      </top>
      <bottom style="thick">
        <color theme="4" tint="0.499984740745262"/>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style="medium">
        <color indexed="64"/>
      </bottom>
      <diagonal/>
    </border>
    <border>
      <left/>
      <right style="thin">
        <color indexed="64"/>
      </right>
      <top/>
      <bottom style="medium">
        <color indexed="64"/>
      </bottom>
      <diagonal/>
    </border>
    <border>
      <left style="thin">
        <color rgb="FFB2B2B2"/>
      </left>
      <right style="thin">
        <color rgb="FFB2B2B2"/>
      </right>
      <top style="thin">
        <color rgb="FFB2B2B2"/>
      </top>
      <bottom style="thin">
        <color rgb="FFB2B2B2"/>
      </bottom>
      <diagonal/>
    </border>
    <border>
      <left style="medium">
        <color indexed="64"/>
      </left>
      <right/>
      <top style="medium">
        <color indexed="64"/>
      </top>
      <bottom style="medium">
        <color indexed="64"/>
      </bottom>
      <diagonal/>
    </border>
    <border>
      <left style="thin">
        <color indexed="64"/>
      </left>
      <right style="thin">
        <color indexed="64"/>
      </right>
      <top style="thin">
        <color indexed="64"/>
      </top>
      <bottom style="thick">
        <color theme="4" tint="0.499984740745262"/>
      </bottom>
      <diagonal/>
    </border>
  </borders>
  <cellStyleXfs count="7">
    <xf numFmtId="0" fontId="0" fillId="0" borderId="0"/>
    <xf numFmtId="0" fontId="9" fillId="0" borderId="0" applyNumberFormat="0" applyFill="0" applyBorder="0" applyAlignment="0" applyProtection="0"/>
    <xf numFmtId="0" fontId="10" fillId="0" borderId="12" applyNumberFormat="0" applyFill="0" applyAlignment="0" applyProtection="0"/>
    <xf numFmtId="0" fontId="15" fillId="0" borderId="0" applyNumberFormat="0" applyFill="0" applyBorder="0" applyAlignment="0" applyProtection="0"/>
    <xf numFmtId="0" fontId="14" fillId="4" borderId="23" applyNumberFormat="0" applyFont="0" applyAlignment="0" applyProtection="0"/>
    <xf numFmtId="0" fontId="2" fillId="5" borderId="0" applyNumberFormat="0" applyBorder="0" applyAlignment="0" applyProtection="0"/>
    <xf numFmtId="0" fontId="1" fillId="9" borderId="0" applyNumberFormat="0" applyBorder="0" applyAlignment="0" applyProtection="0"/>
  </cellStyleXfs>
  <cellXfs count="86">
    <xf numFmtId="0" fontId="0" fillId="0" borderId="0" xfId="0"/>
    <xf numFmtId="165" fontId="0" fillId="0" borderId="0" xfId="0" applyNumberFormat="1"/>
    <xf numFmtId="0" fontId="4" fillId="2" borderId="7" xfId="0" applyFont="1" applyFill="1" applyBorder="1"/>
    <xf numFmtId="0" fontId="4" fillId="2" borderId="7" xfId="0" applyFont="1" applyFill="1" applyBorder="1" applyAlignment="1">
      <alignment horizontal="center" vertical="center"/>
    </xf>
    <xf numFmtId="0" fontId="4" fillId="2" borderId="7" xfId="0" applyFont="1" applyFill="1" applyBorder="1" applyAlignment="1">
      <alignment horizontal="left"/>
    </xf>
    <xf numFmtId="0" fontId="4" fillId="2" borderId="7" xfId="0" applyFont="1" applyFill="1" applyBorder="1" applyAlignment="1">
      <alignment horizontal="center"/>
    </xf>
    <xf numFmtId="0" fontId="4" fillId="2" borderId="11" xfId="0" applyFont="1" applyFill="1" applyBorder="1"/>
    <xf numFmtId="0" fontId="9" fillId="0" borderId="0" xfId="1"/>
    <xf numFmtId="0" fontId="9" fillId="0" borderId="0" xfId="1" applyAlignment="1">
      <alignment horizontal="center" vertical="center"/>
    </xf>
    <xf numFmtId="0" fontId="10" fillId="2" borderId="12" xfId="2" applyFill="1" applyAlignment="1">
      <alignment horizontal="left"/>
    </xf>
    <xf numFmtId="0" fontId="10" fillId="2" borderId="12" xfId="2" applyFill="1"/>
    <xf numFmtId="0" fontId="10" fillId="0" borderId="12" xfId="2"/>
    <xf numFmtId="0" fontId="10" fillId="2" borderId="12" xfId="2" applyFill="1" applyAlignment="1">
      <alignment horizontal="center"/>
    </xf>
    <xf numFmtId="0" fontId="10" fillId="2" borderId="12" xfId="2" applyFill="1" applyAlignment="1">
      <alignment horizontal="center" vertical="center"/>
    </xf>
    <xf numFmtId="0" fontId="10" fillId="0" borderId="12" xfId="2" applyAlignment="1">
      <alignment horizontal="center" vertical="center"/>
    </xf>
    <xf numFmtId="0" fontId="10" fillId="2" borderId="14" xfId="2" applyFill="1" applyBorder="1"/>
    <xf numFmtId="0" fontId="10" fillId="2" borderId="15" xfId="2" applyFill="1" applyBorder="1"/>
    <xf numFmtId="0" fontId="10" fillId="0" borderId="16" xfId="2" applyBorder="1"/>
    <xf numFmtId="0" fontId="10" fillId="0" borderId="17" xfId="2" applyBorder="1"/>
    <xf numFmtId="0" fontId="10" fillId="2" borderId="13" xfId="2" applyFill="1" applyBorder="1"/>
    <xf numFmtId="0" fontId="0" fillId="0" borderId="0" xfId="0" pivotButton="1"/>
    <xf numFmtId="0" fontId="0" fillId="0" borderId="0" xfId="0" applyAlignment="1">
      <alignment horizontal="left"/>
    </xf>
    <xf numFmtId="165" fontId="11" fillId="0" borderId="5" xfId="0" applyNumberFormat="1" applyFont="1" applyBorder="1"/>
    <xf numFmtId="165" fontId="11" fillId="0" borderId="4" xfId="0" applyNumberFormat="1" applyFont="1" applyBorder="1"/>
    <xf numFmtId="164" fontId="12" fillId="0" borderId="3" xfId="0" applyNumberFormat="1" applyFont="1" applyBorder="1" applyAlignment="1">
      <alignment horizontal="left" indent="2"/>
    </xf>
    <xf numFmtId="0" fontId="4" fillId="2" borderId="3" xfId="0" applyFont="1" applyFill="1" applyBorder="1" applyAlignment="1">
      <alignment horizontal="center" vertical="center"/>
    </xf>
    <xf numFmtId="164" fontId="0" fillId="0" borderId="0" xfId="0" applyNumberFormat="1"/>
    <xf numFmtId="0" fontId="0" fillId="2" borderId="1" xfId="0" applyFill="1" applyBorder="1"/>
    <xf numFmtId="0" fontId="4" fillId="2" borderId="1" xfId="0" applyFont="1" applyFill="1" applyBorder="1" applyAlignment="1">
      <alignment horizontal="center" vertical="center"/>
    </xf>
    <xf numFmtId="0" fontId="0" fillId="0" borderId="0" xfId="0" applyAlignment="1">
      <alignment vertical="center" wrapText="1"/>
    </xf>
    <xf numFmtId="0" fontId="16" fillId="5" borderId="0" xfId="5" applyFont="1" applyAlignment="1">
      <alignment vertical="center" wrapText="1"/>
    </xf>
    <xf numFmtId="0" fontId="0" fillId="0" borderId="0" xfId="0" applyAlignment="1">
      <alignment horizontal="center"/>
    </xf>
    <xf numFmtId="0" fontId="0" fillId="4" borderId="23" xfId="4" applyFont="1" applyAlignment="1">
      <alignment vertical="center" wrapText="1"/>
    </xf>
    <xf numFmtId="0" fontId="0" fillId="4" borderId="23" xfId="4" applyFont="1"/>
    <xf numFmtId="0" fontId="17" fillId="6" borderId="24" xfId="3" applyFont="1" applyFill="1" applyBorder="1" applyAlignment="1">
      <alignment horizontal="center" vertical="center" wrapText="1"/>
    </xf>
    <xf numFmtId="0" fontId="17" fillId="6" borderId="4" xfId="3" applyFont="1" applyFill="1" applyBorder="1" applyAlignment="1">
      <alignment horizontal="center" vertical="center" wrapText="1"/>
    </xf>
    <xf numFmtId="0" fontId="17" fillId="6" borderId="5" xfId="3" applyFont="1" applyFill="1" applyBorder="1" applyAlignment="1">
      <alignment horizontal="center" vertical="center" wrapText="1"/>
    </xf>
    <xf numFmtId="0" fontId="10" fillId="0" borderId="12" xfId="2" applyAlignment="1">
      <alignment horizontal="center" vertical="center" wrapText="1"/>
    </xf>
    <xf numFmtId="0" fontId="10" fillId="4" borderId="12" xfId="2" applyFill="1" applyAlignment="1">
      <alignment horizontal="center" vertical="center" wrapText="1"/>
    </xf>
    <xf numFmtId="166" fontId="0" fillId="0" borderId="0" xfId="0" applyNumberFormat="1"/>
    <xf numFmtId="166" fontId="0" fillId="2" borderId="1" xfId="0" applyNumberFormat="1" applyFill="1" applyBorder="1"/>
    <xf numFmtId="0" fontId="0" fillId="7" borderId="0" xfId="0" applyFill="1" applyAlignment="1">
      <alignment horizontal="center" vertical="center"/>
    </xf>
    <xf numFmtId="0" fontId="5" fillId="7" borderId="6" xfId="0" applyFont="1" applyFill="1" applyBorder="1" applyAlignment="1">
      <alignment horizontal="center"/>
    </xf>
    <xf numFmtId="0" fontId="5" fillId="7" borderId="6" xfId="0" applyFont="1" applyFill="1" applyBorder="1" applyAlignment="1">
      <alignment horizontal="center" vertical="center"/>
    </xf>
    <xf numFmtId="164" fontId="5" fillId="7" borderId="6" xfId="0" applyNumberFormat="1" applyFont="1" applyFill="1" applyBorder="1" applyAlignment="1">
      <alignment horizontal="center" vertical="center"/>
    </xf>
    <xf numFmtId="164" fontId="5" fillId="7" borderId="6" xfId="0" applyNumberFormat="1" applyFont="1" applyFill="1" applyBorder="1" applyAlignment="1">
      <alignment horizontal="left" indent="2"/>
    </xf>
    <xf numFmtId="164" fontId="5" fillId="7" borderId="6" xfId="0" applyNumberFormat="1" applyFont="1" applyFill="1" applyBorder="1" applyAlignment="1">
      <alignment horizontal="center"/>
    </xf>
    <xf numFmtId="165" fontId="0" fillId="7" borderId="6" xfId="0" applyNumberFormat="1" applyFill="1" applyBorder="1"/>
    <xf numFmtId="165" fontId="0" fillId="7" borderId="8" xfId="0" applyNumberFormat="1" applyFill="1" applyBorder="1"/>
    <xf numFmtId="0" fontId="0" fillId="7" borderId="1" xfId="0" applyFill="1" applyBorder="1"/>
    <xf numFmtId="166" fontId="0" fillId="7" borderId="1" xfId="0" applyNumberFormat="1" applyFill="1" applyBorder="1"/>
    <xf numFmtId="0" fontId="0" fillId="7" borderId="0" xfId="0" applyFill="1"/>
    <xf numFmtId="0" fontId="5" fillId="7" borderId="1" xfId="0" applyFont="1" applyFill="1" applyBorder="1" applyAlignment="1">
      <alignment horizontal="center"/>
    </xf>
    <xf numFmtId="0" fontId="5" fillId="7" borderId="1" xfId="0" applyFont="1" applyFill="1" applyBorder="1" applyAlignment="1">
      <alignment horizontal="center" vertical="center"/>
    </xf>
    <xf numFmtId="164" fontId="8" fillId="7" borderId="1" xfId="0" applyNumberFormat="1" applyFont="1" applyFill="1" applyBorder="1" applyAlignment="1">
      <alignment horizontal="center" vertical="center"/>
    </xf>
    <xf numFmtId="164" fontId="5" fillId="7" borderId="1" xfId="0" applyNumberFormat="1" applyFont="1" applyFill="1" applyBorder="1" applyAlignment="1">
      <alignment horizontal="left" indent="2"/>
    </xf>
    <xf numFmtId="164" fontId="8" fillId="7" borderId="1" xfId="0" applyNumberFormat="1" applyFont="1" applyFill="1" applyBorder="1" applyAlignment="1">
      <alignment horizontal="left" indent="2"/>
    </xf>
    <xf numFmtId="164" fontId="5" fillId="7" borderId="1" xfId="0" applyNumberFormat="1" applyFont="1" applyFill="1" applyBorder="1" applyAlignment="1">
      <alignment horizontal="center"/>
    </xf>
    <xf numFmtId="165" fontId="0" fillId="7" borderId="1" xfId="0" applyNumberFormat="1" applyFill="1" applyBorder="1"/>
    <xf numFmtId="165" fontId="0" fillId="7" borderId="9" xfId="0" applyNumberFormat="1" applyFill="1" applyBorder="1"/>
    <xf numFmtId="0" fontId="6" fillId="7" borderId="1" xfId="0" applyFont="1" applyFill="1" applyBorder="1" applyAlignment="1">
      <alignment horizontal="center"/>
    </xf>
    <xf numFmtId="0" fontId="6" fillId="7" borderId="1" xfId="0" applyFont="1" applyFill="1" applyBorder="1" applyAlignment="1">
      <alignment horizontal="center" vertical="center"/>
    </xf>
    <xf numFmtId="164" fontId="6" fillId="7" borderId="1" xfId="0" applyNumberFormat="1" applyFont="1" applyFill="1" applyBorder="1" applyAlignment="1">
      <alignment horizontal="center" vertical="center"/>
    </xf>
    <xf numFmtId="164" fontId="6" fillId="7" borderId="1" xfId="0" applyNumberFormat="1" applyFont="1" applyFill="1" applyBorder="1" applyAlignment="1">
      <alignment horizontal="left" indent="2"/>
    </xf>
    <xf numFmtId="164" fontId="6" fillId="7" borderId="1" xfId="0" applyNumberFormat="1" applyFont="1" applyFill="1" applyBorder="1" applyAlignment="1">
      <alignment horizontal="center"/>
    </xf>
    <xf numFmtId="0" fontId="7" fillId="7" borderId="1" xfId="0" applyFont="1" applyFill="1" applyBorder="1" applyAlignment="1">
      <alignment horizontal="center"/>
    </xf>
    <xf numFmtId="0" fontId="7" fillId="7" borderId="1" xfId="0" applyFont="1" applyFill="1" applyBorder="1" applyAlignment="1">
      <alignment horizontal="center" vertical="center"/>
    </xf>
    <xf numFmtId="164" fontId="7" fillId="7" borderId="1" xfId="0" applyNumberFormat="1" applyFont="1" applyFill="1" applyBorder="1" applyAlignment="1">
      <alignment horizontal="center" vertical="center"/>
    </xf>
    <xf numFmtId="164" fontId="7" fillId="7" borderId="1" xfId="0" applyNumberFormat="1" applyFont="1" applyFill="1" applyBorder="1" applyAlignment="1">
      <alignment horizontal="left" indent="2"/>
    </xf>
    <xf numFmtId="164" fontId="7" fillId="7" borderId="1" xfId="0" applyNumberFormat="1" applyFont="1" applyFill="1" applyBorder="1" applyAlignment="1">
      <alignment horizontal="center"/>
    </xf>
    <xf numFmtId="164" fontId="5" fillId="7" borderId="2" xfId="0" applyNumberFormat="1" applyFont="1" applyFill="1" applyBorder="1" applyAlignment="1">
      <alignment horizontal="left" indent="2"/>
    </xf>
    <xf numFmtId="165" fontId="0" fillId="7" borderId="2" xfId="0" applyNumberFormat="1" applyFill="1" applyBorder="1"/>
    <xf numFmtId="165" fontId="0" fillId="7" borderId="10" xfId="0" applyNumberFormat="1" applyFill="1" applyBorder="1"/>
    <xf numFmtId="164" fontId="10" fillId="0" borderId="12" xfId="2" applyNumberFormat="1" applyAlignment="1">
      <alignment horizontal="center" vertical="center"/>
    </xf>
    <xf numFmtId="164" fontId="10" fillId="0" borderId="18" xfId="2" applyNumberFormat="1" applyBorder="1"/>
    <xf numFmtId="0" fontId="10" fillId="2" borderId="14" xfId="2" applyFill="1" applyBorder="1" applyAlignment="1">
      <alignment horizontal="left"/>
    </xf>
    <xf numFmtId="0" fontId="18" fillId="8" borderId="1" xfId="2" applyFont="1" applyFill="1" applyBorder="1"/>
    <xf numFmtId="0" fontId="10" fillId="0" borderId="0" xfId="2" applyBorder="1"/>
    <xf numFmtId="0" fontId="0" fillId="3" borderId="10" xfId="0" applyFill="1" applyBorder="1" applyAlignment="1">
      <alignment horizontal="center" vertical="center"/>
    </xf>
    <xf numFmtId="0" fontId="0" fillId="3" borderId="19" xfId="0" applyFill="1" applyBorder="1" applyAlignment="1">
      <alignment horizontal="center" vertical="center"/>
    </xf>
    <xf numFmtId="0" fontId="0" fillId="3" borderId="20" xfId="0" applyFill="1" applyBorder="1" applyAlignment="1">
      <alignment horizontal="center" vertical="center"/>
    </xf>
    <xf numFmtId="0" fontId="0" fillId="3" borderId="21" xfId="0" applyFill="1" applyBorder="1" applyAlignment="1">
      <alignment horizontal="center" vertical="center"/>
    </xf>
    <xf numFmtId="0" fontId="0" fillId="3" borderId="17" xfId="0" applyFill="1" applyBorder="1" applyAlignment="1">
      <alignment horizontal="center" vertical="center"/>
    </xf>
    <xf numFmtId="0" fontId="0" fillId="3" borderId="22" xfId="0" applyFill="1" applyBorder="1" applyAlignment="1">
      <alignment horizontal="center" vertical="center"/>
    </xf>
    <xf numFmtId="0" fontId="1" fillId="9" borderId="25" xfId="6" applyBorder="1" applyAlignment="1">
      <alignment vertical="center" wrapText="1"/>
    </xf>
    <xf numFmtId="0" fontId="1" fillId="9" borderId="6" xfId="6" applyBorder="1" applyAlignment="1">
      <alignment vertical="center" wrapText="1"/>
    </xf>
  </cellXfs>
  <cellStyles count="7">
    <cellStyle name="40% - Accent2" xfId="6" builtinId="35"/>
    <cellStyle name="60% - Accent6" xfId="5" builtinId="52"/>
    <cellStyle name="Heading 2" xfId="2" builtinId="17"/>
    <cellStyle name="Heading 4" xfId="1" builtinId="19"/>
    <cellStyle name="Normal" xfId="0" builtinId="0"/>
    <cellStyle name="Note" xfId="4" builtinId="10"/>
    <cellStyle name="Title" xfId="3" builtinId="15"/>
  </cellStyles>
  <dxfs count="6">
    <dxf>
      <alignment horizontal="center" vertical="center" textRotation="0" wrapText="1" indent="0" justifyLastLine="0" shrinkToFit="0" readingOrder="0"/>
    </dxf>
    <dxf>
      <alignment horizontal="center"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border>
        <bottom style="medium">
          <color indexed="64"/>
        </bottom>
      </border>
    </dxf>
    <dxf>
      <font>
        <strike val="0"/>
        <outline val="0"/>
        <shadow val="0"/>
        <u val="none"/>
        <vertAlign val="baseline"/>
        <sz val="18"/>
        <color rgb="FF7030A0"/>
        <name val="Gill Sans MT"/>
        <family val="2"/>
        <scheme val="major"/>
      </font>
      <fill>
        <patternFill patternType="solid">
          <fgColor indexed="64"/>
          <bgColor theme="7"/>
        </patternFill>
      </fill>
      <alignment horizontal="center" vertical="center" textRotation="0" wrapText="1" indent="0" justifyLastLine="0" shrinkToFit="0" readingOrder="0"/>
      <border diagonalUp="0" diagonalDown="0" outline="0">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[VBA And Macros File formula(MCRO) File1.xlsm]Sheet4!Product Size wise Sales</c:name>
    <c:fmtId val="7"/>
  </c:pivotSource>
  <c:chart>
    <c:title>
      <c:tx>
        <c:rich>
          <a:bodyPr rot="0" spcFirstLastPara="1" vertOverflow="ellipsis" vert="horz" wrap="square" anchor="ctr" anchorCtr="1"/>
          <a:lstStyle/>
          <a:p>
            <a:pPr>
              <a:defRPr sz="1600" b="1" i="0" u="none" strike="noStrike" kern="1200" baseline="0">
                <a:solidFill>
                  <a:schemeClr val="dk1"/>
                </a:solidFill>
                <a:latin typeface="+mn-lt"/>
                <a:ea typeface="+mn-ea"/>
                <a:cs typeface="+mn-cs"/>
              </a:defRPr>
            </a:pPr>
            <a:r>
              <a:rPr lang="en-IN">
                <a:solidFill>
                  <a:schemeClr val="dk1"/>
                </a:solidFill>
                <a:latin typeface="+mn-lt"/>
                <a:ea typeface="+mn-ea"/>
                <a:cs typeface="+mn-cs"/>
              </a:rPr>
              <a:t>Segment</a:t>
            </a:r>
            <a:r>
              <a:rPr lang="en-IN" baseline="0">
                <a:solidFill>
                  <a:schemeClr val="dk1"/>
                </a:solidFill>
                <a:latin typeface="+mn-lt"/>
                <a:ea typeface="+mn-ea"/>
                <a:cs typeface="+mn-cs"/>
              </a:rPr>
              <a:t> wise Sales</a:t>
            </a:r>
            <a:endParaRPr lang="en-IN"/>
          </a:p>
        </c:rich>
      </c:tx>
      <c:overlay val="0"/>
      <c:spPr>
        <a:solidFill>
          <a:schemeClr val="lt1"/>
        </a:solidFill>
        <a:ln w="12700" cap="flat" cmpd="sng" algn="ctr">
          <a:solidFill>
            <a:schemeClr val="dk1"/>
          </a:solidFill>
          <a:prstDash val="solid"/>
          <a:miter lim="800000"/>
        </a:ln>
        <a:effectLst/>
      </c:spPr>
      <c:txPr>
        <a:bodyPr rot="0" spcFirstLastPara="1" vertOverflow="ellipsis" vert="horz" wrap="square" anchor="ctr" anchorCtr="1"/>
        <a:lstStyle/>
        <a:p>
          <a:pPr>
            <a:defRPr sz="1600" b="1" i="0" u="none" strike="noStrike" kern="1200" baseline="0">
              <a:solidFill>
                <a:schemeClr val="dk1"/>
              </a:solidFill>
              <a:latin typeface="+mn-lt"/>
              <a:ea typeface="+mn-ea"/>
              <a:cs typeface="+mn-cs"/>
            </a:defRPr>
          </a:pPr>
          <a:endParaRPr lang="en-IN"/>
        </a:p>
      </c:txPr>
    </c:title>
    <c:autoTitleDeleted val="0"/>
    <c:pivotFmts>
      <c:pivotFmt>
        <c:idx val="0"/>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2"/>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3"/>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4"/>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5"/>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6"/>
        <c:spPr>
          <a:ln w="31750" cap="rnd">
            <a:solidFill>
              <a:schemeClr val="accent1"/>
            </a:solidFill>
            <a:round/>
          </a:ln>
          <a:effectLst>
            <a:outerShdw blurRad="40000" dist="23000" dir="5400000" rotWithShape="0">
              <a:srgbClr val="000000">
                <a:alpha val="35000"/>
              </a:srgbClr>
            </a:outerShdw>
          </a:effectLst>
        </c:spPr>
        <c:marker>
          <c:symbol val="circle"/>
          <c:size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12700">
              <a:solidFill>
                <a:schemeClr val="lt2"/>
              </a:solidFill>
              <a:round/>
            </a:ln>
            <a:effectLst>
              <a:outerShdw blurRad="40000" dist="23000" dir="5400000" rotWithShape="0">
                <a:srgbClr val="000000">
                  <a:alpha val="35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ln w="31750" cap="rnd">
            <a:solidFill>
              <a:schemeClr val="accent1"/>
            </a:solidFill>
            <a:round/>
          </a:ln>
          <a:effectLst>
            <a:outerShdw blurRad="40000" dist="23000" dir="5400000" rotWithShape="0">
              <a:srgbClr val="000000">
                <a:alpha val="35000"/>
              </a:srgbClr>
            </a:outerShdw>
          </a:effectLst>
        </c:spPr>
        <c:marker>
          <c:symbol val="circle"/>
          <c:size val="6"/>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w="12700">
              <a:solidFill>
                <a:schemeClr val="lt2"/>
              </a:solidFill>
              <a:round/>
            </a:ln>
            <a:effectLst>
              <a:outerShdw blurRad="40000" dist="23000" dir="5400000" rotWithShape="0">
                <a:srgbClr val="000000">
                  <a:alpha val="35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ln w="31750" cap="rnd">
            <a:solidFill>
              <a:schemeClr val="accent1"/>
            </a:solidFill>
            <a:round/>
          </a:ln>
          <a:effectLst>
            <a:outerShdw blurRad="40000" dist="23000" dir="5400000" rotWithShape="0">
              <a:srgbClr val="000000">
                <a:alpha val="35000"/>
              </a:srgbClr>
            </a:outerShdw>
          </a:effectLst>
        </c:spPr>
        <c:marker>
          <c:symbol val="circle"/>
          <c:size val="6"/>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w="12700">
              <a:solidFill>
                <a:schemeClr val="lt2"/>
              </a:solidFill>
              <a:round/>
            </a:ln>
            <a:effectLst>
              <a:outerShdw blurRad="40000" dist="23000" dir="5400000" rotWithShape="0">
                <a:srgbClr val="000000">
                  <a:alpha val="35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Sheet4!$B$3</c:f>
              <c:strCache>
                <c:ptCount val="1"/>
                <c:pt idx="0">
                  <c:v>Sum of Total S.Price</c:v>
                </c:pt>
              </c:strCache>
            </c:strRef>
          </c:tx>
          <c:spPr>
            <a:ln w="31750" cap="rnd">
              <a:solidFill>
                <a:schemeClr val="accent1"/>
              </a:solidFill>
              <a:round/>
            </a:ln>
            <a:effectLst>
              <a:outerShdw blurRad="40000" dist="23000" dir="5400000" rotWithShape="0">
                <a:srgbClr val="000000">
                  <a:alpha val="35000"/>
                </a:srgbClr>
              </a:outerShdw>
            </a:effectLst>
          </c:spPr>
          <c:marker>
            <c:symbol val="circle"/>
            <c:size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12700">
                <a:solidFill>
                  <a:schemeClr val="lt2"/>
                </a:solidFill>
                <a:round/>
              </a:ln>
              <a:effectLst>
                <a:outerShdw blurRad="40000" dist="23000" dir="5400000" rotWithShape="0">
                  <a:srgbClr val="000000">
                    <a:alpha val="35000"/>
                  </a:srgbClr>
                </a:outerShdw>
              </a:effectLst>
            </c:spPr>
          </c:marker>
          <c:cat>
            <c:strRef>
              <c:f>Sheet4!$A$4:$A$7</c:f>
              <c:strCache>
                <c:ptCount val="3"/>
                <c:pt idx="0">
                  <c:v>T Shirt (XL)</c:v>
                </c:pt>
                <c:pt idx="1">
                  <c:v>T Shirt(L)</c:v>
                </c:pt>
                <c:pt idx="2">
                  <c:v>T Shirt(M)</c:v>
                </c:pt>
              </c:strCache>
            </c:strRef>
          </c:cat>
          <c:val>
            <c:numRef>
              <c:f>Sheet4!$B$4:$B$7</c:f>
              <c:numCache>
                <c:formatCode>_ [$₹-4009]\ * #,##0.0_ ;_ [$₹-4009]\ * \-#,##0.0_ ;_ [$₹-4009]\ * "-"??_ ;_ @_ </c:formatCode>
                <c:ptCount val="3"/>
                <c:pt idx="0">
                  <c:v>143200</c:v>
                </c:pt>
                <c:pt idx="1">
                  <c:v>42000</c:v>
                </c:pt>
                <c:pt idx="2">
                  <c:v>42900</c:v>
                </c:pt>
              </c:numCache>
            </c:numRef>
          </c:val>
          <c:smooth val="0"/>
          <c:extLst>
            <c:ext xmlns:c16="http://schemas.microsoft.com/office/drawing/2014/chart" uri="{C3380CC4-5D6E-409C-BE32-E72D297353CC}">
              <c16:uniqueId val="{00000000-BBF5-4983-BCF7-BAA7C54EFF73}"/>
            </c:ext>
          </c:extLst>
        </c:ser>
        <c:ser>
          <c:idx val="1"/>
          <c:order val="1"/>
          <c:tx>
            <c:strRef>
              <c:f>Sheet4!$C$3</c:f>
              <c:strCache>
                <c:ptCount val="1"/>
                <c:pt idx="0">
                  <c:v>Sum of Total C.Price</c:v>
                </c:pt>
              </c:strCache>
            </c:strRef>
          </c:tx>
          <c:spPr>
            <a:ln w="31750" cap="rnd">
              <a:solidFill>
                <a:schemeClr val="accent2"/>
              </a:solidFill>
              <a:round/>
            </a:ln>
            <a:effectLst>
              <a:outerShdw blurRad="40000" dist="23000" dir="5400000" rotWithShape="0">
                <a:srgbClr val="000000">
                  <a:alpha val="35000"/>
                </a:srgbClr>
              </a:outerShdw>
            </a:effectLst>
          </c:spPr>
          <c:marker>
            <c:symbol val="circle"/>
            <c:size val="6"/>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w="12700">
                <a:solidFill>
                  <a:schemeClr val="lt2"/>
                </a:solidFill>
                <a:round/>
              </a:ln>
              <a:effectLst>
                <a:outerShdw blurRad="40000" dist="23000" dir="5400000" rotWithShape="0">
                  <a:srgbClr val="000000">
                    <a:alpha val="35000"/>
                  </a:srgbClr>
                </a:outerShdw>
              </a:effectLst>
            </c:spPr>
          </c:marker>
          <c:cat>
            <c:strRef>
              <c:f>Sheet4!$A$4:$A$7</c:f>
              <c:strCache>
                <c:ptCount val="3"/>
                <c:pt idx="0">
                  <c:v>T Shirt (XL)</c:v>
                </c:pt>
                <c:pt idx="1">
                  <c:v>T Shirt(L)</c:v>
                </c:pt>
                <c:pt idx="2">
                  <c:v>T Shirt(M)</c:v>
                </c:pt>
              </c:strCache>
            </c:strRef>
          </c:cat>
          <c:val>
            <c:numRef>
              <c:f>Sheet4!$C$4:$C$7</c:f>
              <c:numCache>
                <c:formatCode>_ [$₹-4009]\ * #,##0.0_ ;_ [$₹-4009]\ * \-#,##0.0_ ;_ [$₹-4009]\ * "-"?_ ;_ @_ </c:formatCode>
                <c:ptCount val="3"/>
                <c:pt idx="0">
                  <c:v>89500</c:v>
                </c:pt>
                <c:pt idx="1">
                  <c:v>21840</c:v>
                </c:pt>
                <c:pt idx="2">
                  <c:v>28600</c:v>
                </c:pt>
              </c:numCache>
            </c:numRef>
          </c:val>
          <c:smooth val="0"/>
          <c:extLst>
            <c:ext xmlns:c16="http://schemas.microsoft.com/office/drawing/2014/chart" uri="{C3380CC4-5D6E-409C-BE32-E72D297353CC}">
              <c16:uniqueId val="{00000001-BBF5-4983-BCF7-BAA7C54EFF73}"/>
            </c:ext>
          </c:extLst>
        </c:ser>
        <c:ser>
          <c:idx val="2"/>
          <c:order val="2"/>
          <c:tx>
            <c:strRef>
              <c:f>Sheet4!$D$3</c:f>
              <c:strCache>
                <c:ptCount val="1"/>
                <c:pt idx="0">
                  <c:v>Sum of Profit Margin</c:v>
                </c:pt>
              </c:strCache>
            </c:strRef>
          </c:tx>
          <c:spPr>
            <a:ln w="31750" cap="rnd">
              <a:solidFill>
                <a:schemeClr val="accent3"/>
              </a:solidFill>
              <a:round/>
            </a:ln>
            <a:effectLst>
              <a:outerShdw blurRad="40000" dist="23000" dir="5400000" rotWithShape="0">
                <a:srgbClr val="000000">
                  <a:alpha val="35000"/>
                </a:srgbClr>
              </a:outerShdw>
            </a:effectLst>
          </c:spPr>
          <c:marker>
            <c:symbol val="circle"/>
            <c:size val="6"/>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w="12700">
                <a:solidFill>
                  <a:schemeClr val="lt2"/>
                </a:solidFill>
                <a:round/>
              </a:ln>
              <a:effectLst>
                <a:outerShdw blurRad="40000" dist="23000" dir="5400000" rotWithShape="0">
                  <a:srgbClr val="000000">
                    <a:alpha val="35000"/>
                  </a:srgbClr>
                </a:outerShdw>
              </a:effectLst>
            </c:spPr>
          </c:marker>
          <c:cat>
            <c:strRef>
              <c:f>Sheet4!$A$4:$A$7</c:f>
              <c:strCache>
                <c:ptCount val="3"/>
                <c:pt idx="0">
                  <c:v>T Shirt (XL)</c:v>
                </c:pt>
                <c:pt idx="1">
                  <c:v>T Shirt(L)</c:v>
                </c:pt>
                <c:pt idx="2">
                  <c:v>T Shirt(M)</c:v>
                </c:pt>
              </c:strCache>
            </c:strRef>
          </c:cat>
          <c:val>
            <c:numRef>
              <c:f>Sheet4!$D$4:$D$7</c:f>
              <c:numCache>
                <c:formatCode>_ [$₹-4009]\ * #,##0.0_ ;_ [$₹-4009]\ * \-#,##0.0_ ;_ [$₹-4009]\ * "-"?_ ;_ @_ </c:formatCode>
                <c:ptCount val="3"/>
                <c:pt idx="0">
                  <c:v>53700</c:v>
                </c:pt>
                <c:pt idx="1">
                  <c:v>20160</c:v>
                </c:pt>
                <c:pt idx="2">
                  <c:v>14300</c:v>
                </c:pt>
              </c:numCache>
            </c:numRef>
          </c:val>
          <c:smooth val="0"/>
          <c:extLst>
            <c:ext xmlns:c16="http://schemas.microsoft.com/office/drawing/2014/chart" uri="{C3380CC4-5D6E-409C-BE32-E72D297353CC}">
              <c16:uniqueId val="{00000002-BBF5-4983-BCF7-BAA7C54EFF73}"/>
            </c:ext>
          </c:extLst>
        </c:ser>
        <c:dLbls>
          <c:showLegendKey val="0"/>
          <c:showVal val="0"/>
          <c:showCatName val="0"/>
          <c:showSerName val="0"/>
          <c:showPercent val="0"/>
          <c:showBubbleSize val="0"/>
        </c:dLbls>
        <c:marker val="1"/>
        <c:smooth val="0"/>
        <c:axId val="1582740000"/>
        <c:axId val="1582728000"/>
      </c:lineChart>
      <c:catAx>
        <c:axId val="1582740000"/>
        <c:scaling>
          <c:orientation val="minMax"/>
        </c:scaling>
        <c:delete val="0"/>
        <c:axPos val="b"/>
        <c:numFmt formatCode="General" sourceLinked="1"/>
        <c:majorTickMark val="out"/>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1582728000"/>
        <c:crosses val="autoZero"/>
        <c:auto val="1"/>
        <c:lblAlgn val="ctr"/>
        <c:lblOffset val="100"/>
        <c:noMultiLvlLbl val="0"/>
      </c:catAx>
      <c:valAx>
        <c:axId val="1582728000"/>
        <c:scaling>
          <c:orientation val="minMax"/>
        </c:scaling>
        <c:delete val="0"/>
        <c:axPos val="l"/>
        <c:majorGridlines>
          <c:spPr>
            <a:ln w="9525" cap="flat" cmpd="sng" algn="ctr">
              <a:solidFill>
                <a:schemeClr val="tx2">
                  <a:lumMod val="15000"/>
                  <a:lumOff val="85000"/>
                </a:schemeClr>
              </a:solidFill>
              <a:round/>
            </a:ln>
            <a:effectLst/>
          </c:spPr>
        </c:majorGridlines>
        <c:numFmt formatCode="_ [$₹-4009]\ * #,##0.0_ ;_ [$₹-4009]\ * \-#,##0.0_ ;_ [$₹-4009]\ * &quot;-&quot;??_ ;_ @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15827400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5">
        <a:lumMod val="20000"/>
        <a:lumOff val="80000"/>
      </a:schemeClr>
    </a:solidFill>
    <a:ln w="12700" cap="flat" cmpd="sng" algn="ctr">
      <a:solidFill>
        <a:schemeClr val="dk1"/>
      </a:solidFill>
      <a:prstDash val="solid"/>
      <a:miter lim="800000"/>
    </a:ln>
    <a:effectLst/>
    <a:scene3d>
      <a:camera prst="orthographicFront"/>
      <a:lightRig rig="threePt" dir="t"/>
    </a:scene3d>
    <a:sp3d>
      <a:bevelT/>
    </a:sp3d>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[VBA And Macros File formula(MCRO) File1.xlsm]Sheet4!SIZE</c:name>
    <c:fmtId val="10"/>
  </c:pivotSource>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IN" b="1"/>
              <a:t>Selling and Profit Margin Sales</a:t>
            </a:r>
          </a:p>
        </c:rich>
      </c:tx>
      <c:overlay val="0"/>
      <c:spPr>
        <a:solidFill>
          <a:schemeClr val="lt1"/>
        </a:solidFill>
        <a:ln w="12700" cap="flat" cmpd="sng" algn="ctr">
          <a:solidFill>
            <a:schemeClr val="dk1"/>
          </a:solidFill>
          <a:prstDash val="solid"/>
          <a:miter lim="800000"/>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Sheet4!$L$4</c:f>
              <c:strCache>
                <c:ptCount val="1"/>
                <c:pt idx="0">
                  <c:v>Sum of Total S.Price</c:v>
                </c:pt>
              </c:strCache>
            </c:strRef>
          </c:tx>
          <c:spPr>
            <a:solidFill>
              <a:schemeClr val="accent1"/>
            </a:solidFill>
            <a:ln>
              <a:noFill/>
            </a:ln>
            <a:effectLst/>
          </c:spPr>
          <c:invertIfNegative val="0"/>
          <c:cat>
            <c:strRef>
              <c:f>Sheet4!$K$5:$K$18</c:f>
              <c:strCache>
                <c:ptCount val="13"/>
                <c:pt idx="0">
                  <c:v>5</c:v>
                </c:pt>
                <c:pt idx="1">
                  <c:v>10</c:v>
                </c:pt>
                <c:pt idx="2">
                  <c:v>15</c:v>
                </c:pt>
                <c:pt idx="3">
                  <c:v>16</c:v>
                </c:pt>
                <c:pt idx="4">
                  <c:v>17</c:v>
                </c:pt>
                <c:pt idx="5">
                  <c:v>20</c:v>
                </c:pt>
                <c:pt idx="6">
                  <c:v>23</c:v>
                </c:pt>
                <c:pt idx="7">
                  <c:v>25</c:v>
                </c:pt>
                <c:pt idx="8">
                  <c:v>30</c:v>
                </c:pt>
                <c:pt idx="9">
                  <c:v>34</c:v>
                </c:pt>
                <c:pt idx="10">
                  <c:v>35</c:v>
                </c:pt>
                <c:pt idx="11">
                  <c:v>40</c:v>
                </c:pt>
                <c:pt idx="12">
                  <c:v>54</c:v>
                </c:pt>
              </c:strCache>
            </c:strRef>
          </c:cat>
          <c:val>
            <c:numRef>
              <c:f>Sheet4!$L$5:$L$18</c:f>
              <c:numCache>
                <c:formatCode>_ [$₹-4009]\ * #,##0.0_ ;_ [$₹-4009]\ * \-#,##0.0_ ;_ [$₹-4009]\ * "-"??_ ;_ @_ </c:formatCode>
                <c:ptCount val="13"/>
                <c:pt idx="0">
                  <c:v>1250</c:v>
                </c:pt>
                <c:pt idx="1">
                  <c:v>4000</c:v>
                </c:pt>
                <c:pt idx="2">
                  <c:v>75000</c:v>
                </c:pt>
                <c:pt idx="3">
                  <c:v>6400</c:v>
                </c:pt>
                <c:pt idx="4">
                  <c:v>6800</c:v>
                </c:pt>
                <c:pt idx="5">
                  <c:v>40000</c:v>
                </c:pt>
                <c:pt idx="6">
                  <c:v>9200</c:v>
                </c:pt>
                <c:pt idx="7">
                  <c:v>23750</c:v>
                </c:pt>
                <c:pt idx="8">
                  <c:v>28500</c:v>
                </c:pt>
                <c:pt idx="9">
                  <c:v>5100</c:v>
                </c:pt>
                <c:pt idx="10">
                  <c:v>14000</c:v>
                </c:pt>
                <c:pt idx="11">
                  <c:v>6000</c:v>
                </c:pt>
                <c:pt idx="12">
                  <c:v>8100</c:v>
                </c:pt>
              </c:numCache>
            </c:numRef>
          </c:val>
          <c:extLst>
            <c:ext xmlns:c16="http://schemas.microsoft.com/office/drawing/2014/chart" uri="{C3380CC4-5D6E-409C-BE32-E72D297353CC}">
              <c16:uniqueId val="{00000001-BDF5-45A0-BA82-C8810A73CC4B}"/>
            </c:ext>
          </c:extLst>
        </c:ser>
        <c:ser>
          <c:idx val="1"/>
          <c:order val="1"/>
          <c:tx>
            <c:strRef>
              <c:f>Sheet4!$M$4</c:f>
              <c:strCache>
                <c:ptCount val="1"/>
                <c:pt idx="0">
                  <c:v>Sum of Profit Margin</c:v>
                </c:pt>
              </c:strCache>
            </c:strRef>
          </c:tx>
          <c:spPr>
            <a:solidFill>
              <a:schemeClr val="accent2"/>
            </a:solidFill>
            <a:ln>
              <a:noFill/>
            </a:ln>
            <a:effectLst/>
          </c:spPr>
          <c:invertIfNegative val="0"/>
          <c:cat>
            <c:strRef>
              <c:f>Sheet4!$K$5:$K$18</c:f>
              <c:strCache>
                <c:ptCount val="13"/>
                <c:pt idx="0">
                  <c:v>5</c:v>
                </c:pt>
                <c:pt idx="1">
                  <c:v>10</c:v>
                </c:pt>
                <c:pt idx="2">
                  <c:v>15</c:v>
                </c:pt>
                <c:pt idx="3">
                  <c:v>16</c:v>
                </c:pt>
                <c:pt idx="4">
                  <c:v>17</c:v>
                </c:pt>
                <c:pt idx="5">
                  <c:v>20</c:v>
                </c:pt>
                <c:pt idx="6">
                  <c:v>23</c:v>
                </c:pt>
                <c:pt idx="7">
                  <c:v>25</c:v>
                </c:pt>
                <c:pt idx="8">
                  <c:v>30</c:v>
                </c:pt>
                <c:pt idx="9">
                  <c:v>34</c:v>
                </c:pt>
                <c:pt idx="10">
                  <c:v>35</c:v>
                </c:pt>
                <c:pt idx="11">
                  <c:v>40</c:v>
                </c:pt>
                <c:pt idx="12">
                  <c:v>54</c:v>
                </c:pt>
              </c:strCache>
            </c:strRef>
          </c:cat>
          <c:val>
            <c:numRef>
              <c:f>Sheet4!$M$5:$M$18</c:f>
              <c:numCache>
                <c:formatCode>_ [$₹-4009]\ * #,##0.0_ ;_ [$₹-4009]\ * \-#,##0.0_ ;_ [$₹-4009]\ * "-"?_ ;_ @_ </c:formatCode>
                <c:ptCount val="13"/>
                <c:pt idx="0">
                  <c:v>600</c:v>
                </c:pt>
                <c:pt idx="1">
                  <c:v>1700</c:v>
                </c:pt>
                <c:pt idx="2">
                  <c:v>29700</c:v>
                </c:pt>
                <c:pt idx="3">
                  <c:v>2400</c:v>
                </c:pt>
                <c:pt idx="4">
                  <c:v>2550</c:v>
                </c:pt>
                <c:pt idx="5">
                  <c:v>15800</c:v>
                </c:pt>
                <c:pt idx="6">
                  <c:v>3910</c:v>
                </c:pt>
                <c:pt idx="7">
                  <c:v>8750</c:v>
                </c:pt>
                <c:pt idx="8">
                  <c:v>11100</c:v>
                </c:pt>
                <c:pt idx="9">
                  <c:v>1700</c:v>
                </c:pt>
                <c:pt idx="10">
                  <c:v>5250</c:v>
                </c:pt>
                <c:pt idx="11">
                  <c:v>2000</c:v>
                </c:pt>
                <c:pt idx="12">
                  <c:v>2700</c:v>
                </c:pt>
              </c:numCache>
            </c:numRef>
          </c:val>
          <c:extLst>
            <c:ext xmlns:c16="http://schemas.microsoft.com/office/drawing/2014/chart" uri="{C3380CC4-5D6E-409C-BE32-E72D297353CC}">
              <c16:uniqueId val="{00000002-BDF5-45A0-BA82-C8810A73CC4B}"/>
            </c:ext>
          </c:extLst>
        </c:ser>
        <c:dLbls>
          <c:showLegendKey val="0"/>
          <c:showVal val="0"/>
          <c:showCatName val="0"/>
          <c:showSerName val="0"/>
          <c:showPercent val="0"/>
          <c:showBubbleSize val="0"/>
        </c:dLbls>
        <c:gapWidth val="219"/>
        <c:overlap val="-27"/>
        <c:axId val="1850693568"/>
        <c:axId val="1850685888"/>
      </c:barChart>
      <c:catAx>
        <c:axId val="1850693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1850685888"/>
        <c:crosses val="autoZero"/>
        <c:auto val="1"/>
        <c:lblAlgn val="ctr"/>
        <c:lblOffset val="100"/>
        <c:noMultiLvlLbl val="0"/>
      </c:catAx>
      <c:valAx>
        <c:axId val="1850685888"/>
        <c:scaling>
          <c:orientation val="minMax"/>
        </c:scaling>
        <c:delete val="1"/>
        <c:axPos val="l"/>
        <c:numFmt formatCode="_ [$₹-4009]\ * #,##0.0_ ;_ [$₹-4009]\ * \-#,##0.0_ ;_ [$₹-4009]\ * &quot;-&quot;??_ ;_ @_ " sourceLinked="1"/>
        <c:majorTickMark val="none"/>
        <c:minorTickMark val="none"/>
        <c:tickLblPos val="nextTo"/>
        <c:crossAx val="18506935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1">
        <a:lumMod val="20000"/>
        <a:lumOff val="80000"/>
      </a:schemeClr>
    </a:solidFill>
    <a:ln w="12700" cap="flat" cmpd="sng" algn="ctr">
      <a:solidFill>
        <a:schemeClr val="accent2"/>
      </a:solidFill>
      <a:prstDash val="solid"/>
      <a:miter lim="800000"/>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[VBA And Macros File formula(MCRO) File1.xlsm]Sheet4!Seller Name </c:name>
    <c:fmtId val="43"/>
  </c:pivotSource>
  <c:chart>
    <c:title>
      <c:tx>
        <c:rich>
          <a:bodyPr rot="0" spcFirstLastPara="1" vertOverflow="ellipsis" vert="horz" wrap="square" anchor="ctr" anchorCtr="1"/>
          <a:lstStyle/>
          <a:p>
            <a:pPr algn="ctr">
              <a:defRPr sz="144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r>
              <a:rPr lang="en-IN" b="0" cap="none" spc="0">
                <a:ln w="0">
                  <a:solidFill>
                    <a:sysClr val="windowText" lastClr="000000"/>
                  </a:solidFill>
                </a:ln>
                <a:solidFill>
                  <a:schemeClr val="tx1"/>
                </a:solidFill>
                <a:effectLst>
                  <a:outerShdw blurRad="38100" dist="19050" dir="2700000" algn="tl" rotWithShape="0">
                    <a:schemeClr val="dk1">
                      <a:alpha val="40000"/>
                    </a:schemeClr>
                  </a:outerShdw>
                </a:effectLst>
                <a:latin typeface="Times New Roman" panose="02020603050405020304" pitchFamily="18" charset="0"/>
                <a:cs typeface="Times New Roman" panose="02020603050405020304" pitchFamily="18" charset="0"/>
              </a:rPr>
              <a:t>Seller wise Sales &amp; Profit Margin</a:t>
            </a:r>
          </a:p>
        </c:rich>
      </c:tx>
      <c:overlay val="0"/>
      <c:spPr>
        <a:solidFill>
          <a:schemeClr val="bg1"/>
        </a:solidFill>
        <a:ln>
          <a:solidFill>
            <a:schemeClr val="tx1"/>
          </a:solidFill>
        </a:ln>
        <a:effectLst/>
      </c:spPr>
      <c:txPr>
        <a:bodyPr rot="0" spcFirstLastPara="1" vertOverflow="ellipsis" vert="horz" wrap="square" anchor="ctr" anchorCtr="1"/>
        <a:lstStyle/>
        <a:p>
          <a:pPr algn="ctr">
            <a:defRPr sz="144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IN"/>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pivotFmt>
      <c:pivotFmt>
        <c:idx val="4"/>
      </c:pivotFmt>
      <c:pivotFmt>
        <c:idx val="5"/>
      </c:pivotFmt>
      <c:pivotFmt>
        <c:idx val="6"/>
      </c:pivotFmt>
      <c:pivotFmt>
        <c:idx val="7"/>
      </c:pivotFmt>
      <c:pivotFmt>
        <c:idx val="8"/>
      </c:pivotFmt>
      <c:pivotFmt>
        <c:idx val="9"/>
      </c:pivotFmt>
      <c:pivotFmt>
        <c:idx val="10"/>
      </c:pivotFmt>
      <c:pivotFmt>
        <c:idx val="11"/>
      </c:pivotFmt>
      <c:pivotFmt>
        <c:idx val="12"/>
      </c:pivotFmt>
      <c:pivotFmt>
        <c:idx val="13"/>
      </c:pivotFmt>
      <c:pivotFmt>
        <c:idx val="14"/>
      </c:pivotFmt>
      <c:pivotFmt>
        <c:idx val="15"/>
      </c:pivotFmt>
      <c:pivotFmt>
        <c:idx val="16"/>
      </c:pivotFmt>
      <c:pivotFmt>
        <c:idx val="17"/>
      </c:pivotFmt>
      <c:pivotFmt>
        <c:idx val="18"/>
      </c:pivotFmt>
      <c:pivotFmt>
        <c:idx val="19"/>
      </c:pivotFmt>
      <c:pivotFmt>
        <c:idx val="20"/>
      </c:pivotFmt>
      <c:pivotFmt>
        <c:idx val="21"/>
      </c:pivotFmt>
      <c:pivotFmt>
        <c:idx val="22"/>
      </c:pivotFmt>
      <c:pivotFmt>
        <c:idx val="23"/>
      </c:pivotFmt>
      <c:pivotFmt>
        <c:idx val="24"/>
      </c:pivotFmt>
      <c:pivotFmt>
        <c:idx val="25"/>
      </c:pivotFmt>
      <c:pivotFmt>
        <c:idx val="26"/>
      </c:pivotFmt>
      <c:pivotFmt>
        <c:idx val="27"/>
      </c:pivotFmt>
      <c:pivotFmt>
        <c:idx val="28"/>
      </c:pivotFmt>
      <c:pivotFmt>
        <c:idx val="29"/>
      </c:pivotFmt>
      <c:pivotFmt>
        <c:idx val="30"/>
      </c:pivotFmt>
      <c:pivotFmt>
        <c:idx val="31"/>
      </c:pivotFmt>
      <c:pivotFmt>
        <c:idx val="32"/>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pivotFmt>
      <c:pivotFmt>
        <c:idx val="35"/>
      </c:pivotFmt>
      <c:pivotFmt>
        <c:idx val="36"/>
      </c:pivotFmt>
      <c:pivotFmt>
        <c:idx val="37"/>
      </c:pivotFmt>
      <c:pivotFmt>
        <c:idx val="38"/>
      </c:pivotFmt>
      <c:pivotFmt>
        <c:idx val="39"/>
      </c:pivotFmt>
      <c:pivotFmt>
        <c:idx val="40"/>
      </c:pivotFmt>
      <c:pivotFmt>
        <c:idx val="41"/>
      </c:pivotFmt>
      <c:pivotFmt>
        <c:idx val="42"/>
      </c:pivotFmt>
      <c:pivotFmt>
        <c:idx val="43"/>
      </c:pivotFmt>
      <c:pivotFmt>
        <c:idx val="44"/>
      </c:pivotFmt>
      <c:pivotFmt>
        <c:idx val="45"/>
      </c:pivotFmt>
      <c:pivotFmt>
        <c:idx val="46"/>
      </c:pivotFmt>
      <c:pivotFmt>
        <c:idx val="47"/>
      </c:pivotFmt>
      <c:pivotFmt>
        <c:idx val="48"/>
      </c:pivotFmt>
      <c:pivotFmt>
        <c:idx val="49"/>
      </c:pivotFmt>
      <c:pivotFmt>
        <c:idx val="50"/>
      </c:pivotFmt>
      <c:pivotFmt>
        <c:idx val="51"/>
      </c:pivotFmt>
      <c:pivotFmt>
        <c:idx val="52"/>
      </c:pivotFmt>
      <c:pivotFmt>
        <c:idx val="53"/>
      </c:pivotFmt>
      <c:pivotFmt>
        <c:idx val="54"/>
      </c:pivotFmt>
      <c:pivotFmt>
        <c:idx val="55"/>
      </c:pivotFmt>
      <c:pivotFmt>
        <c:idx val="56"/>
      </c:pivotFmt>
      <c:pivotFmt>
        <c:idx val="57"/>
      </c:pivotFmt>
      <c:pivotFmt>
        <c:idx val="58"/>
      </c:pivotFmt>
      <c:pivotFmt>
        <c:idx val="59"/>
      </c:pivotFmt>
      <c:pivotFmt>
        <c:idx val="60"/>
      </c:pivotFmt>
      <c:pivotFmt>
        <c:idx val="61"/>
      </c:pivotFmt>
      <c:pivotFmt>
        <c:idx val="62"/>
      </c:pivotFmt>
      <c:pivotFmt>
        <c:idx val="63"/>
      </c:pivotFmt>
      <c:pivotFmt>
        <c:idx val="6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w="19050">
            <a:solidFill>
              <a:schemeClr val="lt1"/>
            </a:solidFill>
          </a:ln>
          <a:effectLst/>
        </c:spPr>
      </c:pivotFmt>
      <c:pivotFmt>
        <c:idx val="66"/>
        <c:spPr>
          <a:solidFill>
            <a:schemeClr val="accent1"/>
          </a:solidFill>
          <a:ln w="19050">
            <a:solidFill>
              <a:schemeClr val="lt1"/>
            </a:solidFill>
          </a:ln>
          <a:effectLst/>
        </c:spPr>
      </c:pivotFmt>
      <c:pivotFmt>
        <c:idx val="67"/>
        <c:spPr>
          <a:solidFill>
            <a:schemeClr val="accent1"/>
          </a:solidFill>
          <a:ln w="19050">
            <a:solidFill>
              <a:schemeClr val="lt1"/>
            </a:solidFill>
          </a:ln>
          <a:effectLst/>
        </c:spPr>
      </c:pivotFmt>
      <c:pivotFmt>
        <c:idx val="68"/>
        <c:spPr>
          <a:solidFill>
            <a:schemeClr val="accent1"/>
          </a:solidFill>
          <a:ln w="19050">
            <a:solidFill>
              <a:schemeClr val="lt1"/>
            </a:solidFill>
          </a:ln>
          <a:effectLst/>
        </c:spPr>
      </c:pivotFmt>
      <c:pivotFmt>
        <c:idx val="69"/>
        <c:spPr>
          <a:solidFill>
            <a:schemeClr val="accent1"/>
          </a:solidFill>
          <a:ln w="19050">
            <a:solidFill>
              <a:schemeClr val="lt1"/>
            </a:solidFill>
          </a:ln>
          <a:effectLst/>
        </c:spPr>
      </c:pivotFmt>
      <c:pivotFmt>
        <c:idx val="70"/>
        <c:spPr>
          <a:solidFill>
            <a:schemeClr val="accent1"/>
          </a:solidFill>
          <a:ln w="19050">
            <a:solidFill>
              <a:schemeClr val="lt1"/>
            </a:solidFill>
          </a:ln>
          <a:effectLst/>
        </c:spPr>
      </c:pivotFmt>
      <c:pivotFmt>
        <c:idx val="71"/>
        <c:spPr>
          <a:solidFill>
            <a:schemeClr val="accent1"/>
          </a:solidFill>
          <a:ln w="19050">
            <a:solidFill>
              <a:schemeClr val="lt1"/>
            </a:solidFill>
          </a:ln>
          <a:effectLst/>
        </c:spPr>
      </c:pivotFmt>
      <c:pivotFmt>
        <c:idx val="72"/>
        <c:spPr>
          <a:solidFill>
            <a:schemeClr val="accent1"/>
          </a:solidFill>
          <a:ln w="19050">
            <a:solidFill>
              <a:schemeClr val="lt1"/>
            </a:solidFill>
          </a:ln>
          <a:effectLst/>
        </c:spPr>
      </c:pivotFmt>
      <c:pivotFmt>
        <c:idx val="73"/>
        <c:spPr>
          <a:solidFill>
            <a:schemeClr val="accent1"/>
          </a:solidFill>
          <a:ln w="19050">
            <a:solidFill>
              <a:schemeClr val="lt1"/>
            </a:solidFill>
          </a:ln>
          <a:effectLst/>
        </c:spPr>
      </c:pivotFmt>
      <c:pivotFmt>
        <c:idx val="74"/>
        <c:spPr>
          <a:solidFill>
            <a:schemeClr val="accent1"/>
          </a:solidFill>
          <a:ln w="19050">
            <a:solidFill>
              <a:schemeClr val="lt1"/>
            </a:solidFill>
          </a:ln>
          <a:effectLst/>
        </c:spPr>
      </c:pivotFmt>
      <c:pivotFmt>
        <c:idx val="75"/>
        <c:spPr>
          <a:solidFill>
            <a:schemeClr val="accent1"/>
          </a:solidFill>
          <a:ln w="19050">
            <a:solidFill>
              <a:schemeClr val="lt1"/>
            </a:solidFill>
          </a:ln>
          <a:effectLst/>
        </c:spPr>
      </c:pivotFmt>
      <c:pivotFmt>
        <c:idx val="76"/>
        <c:spPr>
          <a:solidFill>
            <a:schemeClr val="accent1"/>
          </a:solidFill>
          <a:ln w="19050">
            <a:solidFill>
              <a:schemeClr val="lt1"/>
            </a:solidFill>
          </a:ln>
          <a:effectLst/>
        </c:spPr>
      </c:pivotFmt>
      <c:pivotFmt>
        <c:idx val="77"/>
        <c:spPr>
          <a:solidFill>
            <a:schemeClr val="accent1"/>
          </a:solidFill>
          <a:ln w="19050">
            <a:solidFill>
              <a:schemeClr val="lt1"/>
            </a:solidFill>
          </a:ln>
          <a:effectLst/>
        </c:spPr>
      </c:pivotFmt>
      <c:pivotFmt>
        <c:idx val="78"/>
        <c:spPr>
          <a:solidFill>
            <a:schemeClr val="accent1"/>
          </a:solidFill>
          <a:ln w="19050">
            <a:solidFill>
              <a:schemeClr val="lt1"/>
            </a:solidFill>
          </a:ln>
          <a:effectLst/>
        </c:spPr>
      </c:pivotFmt>
      <c:pivotFmt>
        <c:idx val="79"/>
        <c:spPr>
          <a:solidFill>
            <a:schemeClr val="accent1"/>
          </a:solidFill>
          <a:ln w="19050">
            <a:solidFill>
              <a:schemeClr val="lt1"/>
            </a:solidFill>
          </a:ln>
          <a:effectLst/>
        </c:spPr>
      </c:pivotFmt>
      <c:pivotFmt>
        <c:idx val="80"/>
        <c:spPr>
          <a:solidFill>
            <a:schemeClr val="accent1"/>
          </a:solidFill>
          <a:ln w="19050">
            <a:solidFill>
              <a:schemeClr val="lt1"/>
            </a:solidFill>
          </a:ln>
          <a:effectLst/>
        </c:spPr>
      </c:pivotFmt>
      <c:pivotFmt>
        <c:idx val="81"/>
        <c:spPr>
          <a:solidFill>
            <a:schemeClr val="accent1"/>
          </a:solidFill>
          <a:ln w="19050">
            <a:solidFill>
              <a:schemeClr val="lt1"/>
            </a:solidFill>
          </a:ln>
          <a:effectLst/>
        </c:spPr>
      </c:pivotFmt>
      <c:pivotFmt>
        <c:idx val="82"/>
        <c:spPr>
          <a:solidFill>
            <a:schemeClr val="accent1"/>
          </a:solidFill>
          <a:ln w="19050">
            <a:solidFill>
              <a:schemeClr val="lt1"/>
            </a:solidFill>
          </a:ln>
          <a:effectLst/>
        </c:spPr>
      </c:pivotFmt>
      <c:pivotFmt>
        <c:idx val="83"/>
        <c:spPr>
          <a:solidFill>
            <a:schemeClr val="accent1"/>
          </a:solidFill>
          <a:ln w="19050">
            <a:solidFill>
              <a:schemeClr val="lt1"/>
            </a:solidFill>
          </a:ln>
          <a:effectLst/>
        </c:spPr>
      </c:pivotFmt>
      <c:pivotFmt>
        <c:idx val="84"/>
        <c:spPr>
          <a:solidFill>
            <a:schemeClr val="accent1"/>
          </a:solidFill>
          <a:ln w="19050">
            <a:solidFill>
              <a:schemeClr val="lt1"/>
            </a:solidFill>
          </a:ln>
          <a:effectLst/>
        </c:spPr>
      </c:pivotFmt>
      <c:pivotFmt>
        <c:idx val="85"/>
        <c:spPr>
          <a:solidFill>
            <a:schemeClr val="accent1"/>
          </a:solidFill>
          <a:ln w="19050">
            <a:solidFill>
              <a:schemeClr val="lt1"/>
            </a:solidFill>
          </a:ln>
          <a:effectLst/>
        </c:spPr>
      </c:pivotFmt>
      <c:pivotFmt>
        <c:idx val="86"/>
        <c:spPr>
          <a:solidFill>
            <a:schemeClr val="accent1"/>
          </a:solidFill>
          <a:ln w="19050">
            <a:solidFill>
              <a:schemeClr val="lt1"/>
            </a:solidFill>
          </a:ln>
          <a:effectLst/>
        </c:spPr>
      </c:pivotFmt>
      <c:pivotFmt>
        <c:idx val="87"/>
        <c:spPr>
          <a:solidFill>
            <a:schemeClr val="accent1"/>
          </a:solidFill>
          <a:ln w="19050">
            <a:solidFill>
              <a:schemeClr val="lt1"/>
            </a:solidFill>
          </a:ln>
          <a:effectLst/>
        </c:spPr>
      </c:pivotFmt>
      <c:pivotFmt>
        <c:idx val="88"/>
        <c:spPr>
          <a:solidFill>
            <a:schemeClr val="accent1"/>
          </a:solidFill>
          <a:ln w="19050">
            <a:solidFill>
              <a:schemeClr val="lt1"/>
            </a:solidFill>
          </a:ln>
          <a:effectLst/>
        </c:spPr>
      </c:pivotFmt>
      <c:pivotFmt>
        <c:idx val="89"/>
        <c:spPr>
          <a:solidFill>
            <a:schemeClr val="accent1"/>
          </a:solidFill>
          <a:ln w="19050">
            <a:solidFill>
              <a:schemeClr val="lt1"/>
            </a:solidFill>
          </a:ln>
          <a:effectLst/>
        </c:spPr>
      </c:pivotFmt>
      <c:pivotFmt>
        <c:idx val="90"/>
        <c:spPr>
          <a:solidFill>
            <a:schemeClr val="accent1"/>
          </a:solidFill>
          <a:ln w="19050">
            <a:solidFill>
              <a:schemeClr val="lt1"/>
            </a:solidFill>
          </a:ln>
          <a:effectLst/>
        </c:spPr>
      </c:pivotFmt>
      <c:pivotFmt>
        <c:idx val="91"/>
        <c:spPr>
          <a:solidFill>
            <a:schemeClr val="accent1"/>
          </a:solidFill>
          <a:ln w="19050">
            <a:solidFill>
              <a:schemeClr val="lt1"/>
            </a:solidFill>
          </a:ln>
          <a:effectLst/>
        </c:spPr>
      </c:pivotFmt>
      <c:pivotFmt>
        <c:idx val="92"/>
        <c:spPr>
          <a:solidFill>
            <a:schemeClr val="accent1"/>
          </a:solidFill>
          <a:ln w="19050">
            <a:solidFill>
              <a:schemeClr val="lt1"/>
            </a:solidFill>
          </a:ln>
          <a:effectLst/>
        </c:spPr>
      </c:pivotFmt>
      <c:pivotFmt>
        <c:idx val="93"/>
        <c:spPr>
          <a:solidFill>
            <a:schemeClr val="accent1"/>
          </a:solidFill>
          <a:ln w="19050">
            <a:solidFill>
              <a:schemeClr val="lt1"/>
            </a:solidFill>
          </a:ln>
          <a:effectLst/>
        </c:spPr>
      </c:pivotFmt>
      <c:pivotFmt>
        <c:idx val="94"/>
        <c:spPr>
          <a:solidFill>
            <a:schemeClr val="accent1"/>
          </a:solidFill>
          <a:ln w="19050">
            <a:solidFill>
              <a:schemeClr val="lt1"/>
            </a:solidFill>
          </a:ln>
          <a:effectLst/>
        </c:spPr>
      </c:pivotFmt>
      <c:pivotFmt>
        <c:idx val="9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w="19050">
            <a:solidFill>
              <a:schemeClr val="lt1"/>
            </a:solidFill>
          </a:ln>
          <a:effectLst/>
        </c:spPr>
      </c:pivotFmt>
      <c:pivotFmt>
        <c:idx val="97"/>
        <c:spPr>
          <a:solidFill>
            <a:schemeClr val="accent1"/>
          </a:solidFill>
          <a:ln w="19050">
            <a:solidFill>
              <a:schemeClr val="lt1"/>
            </a:solidFill>
          </a:ln>
          <a:effectLst/>
        </c:spPr>
      </c:pivotFmt>
      <c:pivotFmt>
        <c:idx val="98"/>
        <c:spPr>
          <a:solidFill>
            <a:schemeClr val="accent1"/>
          </a:solidFill>
          <a:ln w="19050">
            <a:solidFill>
              <a:schemeClr val="lt1"/>
            </a:solidFill>
          </a:ln>
          <a:effectLst/>
        </c:spPr>
      </c:pivotFmt>
      <c:pivotFmt>
        <c:idx val="99"/>
        <c:spPr>
          <a:solidFill>
            <a:schemeClr val="accent1"/>
          </a:solidFill>
          <a:ln w="19050">
            <a:solidFill>
              <a:schemeClr val="lt1"/>
            </a:solidFill>
          </a:ln>
          <a:effectLst/>
        </c:spPr>
      </c:pivotFmt>
      <c:pivotFmt>
        <c:idx val="100"/>
        <c:spPr>
          <a:solidFill>
            <a:schemeClr val="accent1"/>
          </a:solidFill>
          <a:ln w="19050">
            <a:solidFill>
              <a:schemeClr val="lt1"/>
            </a:solidFill>
          </a:ln>
          <a:effectLst/>
        </c:spPr>
      </c:pivotFmt>
      <c:pivotFmt>
        <c:idx val="101"/>
        <c:spPr>
          <a:solidFill>
            <a:schemeClr val="accent1"/>
          </a:solidFill>
          <a:ln w="19050">
            <a:solidFill>
              <a:schemeClr val="lt1"/>
            </a:solidFill>
          </a:ln>
          <a:effectLst/>
        </c:spPr>
      </c:pivotFmt>
      <c:pivotFmt>
        <c:idx val="102"/>
        <c:spPr>
          <a:solidFill>
            <a:schemeClr val="accent1"/>
          </a:solidFill>
          <a:ln w="19050">
            <a:solidFill>
              <a:schemeClr val="lt1"/>
            </a:solidFill>
          </a:ln>
          <a:effectLst/>
        </c:spPr>
      </c:pivotFmt>
      <c:pivotFmt>
        <c:idx val="103"/>
        <c:spPr>
          <a:solidFill>
            <a:schemeClr val="accent1"/>
          </a:solidFill>
          <a:ln w="19050">
            <a:solidFill>
              <a:schemeClr val="lt1"/>
            </a:solidFill>
          </a:ln>
          <a:effectLst/>
        </c:spPr>
      </c:pivotFmt>
      <c:pivotFmt>
        <c:idx val="104"/>
        <c:spPr>
          <a:solidFill>
            <a:schemeClr val="accent1"/>
          </a:solidFill>
          <a:ln w="19050">
            <a:solidFill>
              <a:schemeClr val="lt1"/>
            </a:solidFill>
          </a:ln>
          <a:effectLst/>
        </c:spPr>
      </c:pivotFmt>
      <c:pivotFmt>
        <c:idx val="105"/>
        <c:spPr>
          <a:solidFill>
            <a:schemeClr val="accent1"/>
          </a:solidFill>
          <a:ln w="19050">
            <a:solidFill>
              <a:schemeClr val="lt1"/>
            </a:solidFill>
          </a:ln>
          <a:effectLst/>
        </c:spPr>
      </c:pivotFmt>
      <c:pivotFmt>
        <c:idx val="106"/>
        <c:spPr>
          <a:solidFill>
            <a:schemeClr val="accent1"/>
          </a:solidFill>
          <a:ln w="19050">
            <a:solidFill>
              <a:schemeClr val="lt1"/>
            </a:solidFill>
          </a:ln>
          <a:effectLst/>
        </c:spPr>
      </c:pivotFmt>
      <c:pivotFmt>
        <c:idx val="107"/>
        <c:spPr>
          <a:solidFill>
            <a:schemeClr val="accent1"/>
          </a:solidFill>
          <a:ln w="19050">
            <a:solidFill>
              <a:schemeClr val="lt1"/>
            </a:solidFill>
          </a:ln>
          <a:effectLst/>
        </c:spPr>
      </c:pivotFmt>
      <c:pivotFmt>
        <c:idx val="108"/>
        <c:spPr>
          <a:solidFill>
            <a:schemeClr val="accent1"/>
          </a:solidFill>
          <a:ln w="19050">
            <a:solidFill>
              <a:schemeClr val="lt1"/>
            </a:solidFill>
          </a:ln>
          <a:effectLst/>
        </c:spPr>
      </c:pivotFmt>
      <c:pivotFmt>
        <c:idx val="109"/>
        <c:spPr>
          <a:solidFill>
            <a:schemeClr val="accent1"/>
          </a:solidFill>
          <a:ln w="19050">
            <a:solidFill>
              <a:schemeClr val="lt1"/>
            </a:solidFill>
          </a:ln>
          <a:effectLst/>
        </c:spPr>
      </c:pivotFmt>
      <c:pivotFmt>
        <c:idx val="110"/>
        <c:spPr>
          <a:solidFill>
            <a:schemeClr val="accent1"/>
          </a:solidFill>
          <a:ln w="19050">
            <a:solidFill>
              <a:schemeClr val="lt1"/>
            </a:solidFill>
          </a:ln>
          <a:effectLst/>
        </c:spPr>
      </c:pivotFmt>
      <c:pivotFmt>
        <c:idx val="111"/>
        <c:spPr>
          <a:solidFill>
            <a:schemeClr val="accent1"/>
          </a:solidFill>
          <a:ln w="19050">
            <a:solidFill>
              <a:schemeClr val="lt1"/>
            </a:solidFill>
          </a:ln>
          <a:effectLst/>
        </c:spPr>
      </c:pivotFmt>
      <c:pivotFmt>
        <c:idx val="112"/>
        <c:spPr>
          <a:solidFill>
            <a:schemeClr val="accent1"/>
          </a:solidFill>
          <a:ln w="19050">
            <a:solidFill>
              <a:schemeClr val="lt1"/>
            </a:solidFill>
          </a:ln>
          <a:effectLst/>
        </c:spPr>
      </c:pivotFmt>
      <c:pivotFmt>
        <c:idx val="113"/>
        <c:spPr>
          <a:solidFill>
            <a:schemeClr val="accent1"/>
          </a:solidFill>
          <a:ln w="19050">
            <a:solidFill>
              <a:schemeClr val="lt1"/>
            </a:solidFill>
          </a:ln>
          <a:effectLst/>
        </c:spPr>
      </c:pivotFmt>
      <c:pivotFmt>
        <c:idx val="114"/>
        <c:spPr>
          <a:solidFill>
            <a:schemeClr val="accent1"/>
          </a:solidFill>
          <a:ln w="19050">
            <a:solidFill>
              <a:schemeClr val="lt1"/>
            </a:solidFill>
          </a:ln>
          <a:effectLst/>
        </c:spPr>
      </c:pivotFmt>
      <c:pivotFmt>
        <c:idx val="115"/>
        <c:spPr>
          <a:solidFill>
            <a:schemeClr val="accent1"/>
          </a:solidFill>
          <a:ln w="19050">
            <a:solidFill>
              <a:schemeClr val="lt1"/>
            </a:solidFill>
          </a:ln>
          <a:effectLst/>
        </c:spPr>
      </c:pivotFmt>
      <c:pivotFmt>
        <c:idx val="116"/>
        <c:spPr>
          <a:solidFill>
            <a:schemeClr val="accent1"/>
          </a:solidFill>
          <a:ln w="19050">
            <a:solidFill>
              <a:schemeClr val="lt1"/>
            </a:solidFill>
          </a:ln>
          <a:effectLst/>
        </c:spPr>
      </c:pivotFmt>
      <c:pivotFmt>
        <c:idx val="117"/>
        <c:spPr>
          <a:solidFill>
            <a:schemeClr val="accent1"/>
          </a:solidFill>
          <a:ln w="19050">
            <a:solidFill>
              <a:schemeClr val="lt1"/>
            </a:solidFill>
          </a:ln>
          <a:effectLst/>
        </c:spPr>
      </c:pivotFmt>
      <c:pivotFmt>
        <c:idx val="118"/>
        <c:spPr>
          <a:solidFill>
            <a:schemeClr val="accent1"/>
          </a:solidFill>
          <a:ln w="19050">
            <a:solidFill>
              <a:schemeClr val="lt1"/>
            </a:solidFill>
          </a:ln>
          <a:effectLst/>
        </c:spPr>
      </c:pivotFmt>
      <c:pivotFmt>
        <c:idx val="119"/>
        <c:spPr>
          <a:solidFill>
            <a:schemeClr val="accent1"/>
          </a:solidFill>
          <a:ln w="19050">
            <a:solidFill>
              <a:schemeClr val="lt1"/>
            </a:solidFill>
          </a:ln>
          <a:effectLst/>
        </c:spPr>
      </c:pivotFmt>
      <c:pivotFmt>
        <c:idx val="120"/>
        <c:spPr>
          <a:solidFill>
            <a:schemeClr val="accent1"/>
          </a:solidFill>
          <a:ln w="19050">
            <a:solidFill>
              <a:schemeClr val="lt1"/>
            </a:solidFill>
          </a:ln>
          <a:effectLst/>
        </c:spPr>
      </c:pivotFmt>
      <c:pivotFmt>
        <c:idx val="121"/>
        <c:spPr>
          <a:solidFill>
            <a:schemeClr val="accent1"/>
          </a:solidFill>
          <a:ln w="19050">
            <a:solidFill>
              <a:schemeClr val="lt1"/>
            </a:solidFill>
          </a:ln>
          <a:effectLst/>
        </c:spPr>
      </c:pivotFmt>
      <c:pivotFmt>
        <c:idx val="122"/>
        <c:spPr>
          <a:solidFill>
            <a:schemeClr val="accent1"/>
          </a:solidFill>
          <a:ln w="19050">
            <a:solidFill>
              <a:schemeClr val="lt1"/>
            </a:solidFill>
          </a:ln>
          <a:effectLst/>
        </c:spPr>
      </c:pivotFmt>
      <c:pivotFmt>
        <c:idx val="123"/>
        <c:spPr>
          <a:solidFill>
            <a:schemeClr val="accent1"/>
          </a:solidFill>
          <a:ln w="19050">
            <a:solidFill>
              <a:schemeClr val="lt1"/>
            </a:solidFill>
          </a:ln>
          <a:effectLst/>
        </c:spPr>
      </c:pivotFmt>
      <c:pivotFmt>
        <c:idx val="124"/>
        <c:spPr>
          <a:solidFill>
            <a:schemeClr val="accent1"/>
          </a:solidFill>
          <a:ln w="19050">
            <a:solidFill>
              <a:schemeClr val="lt1"/>
            </a:solidFill>
          </a:ln>
          <a:effectLst/>
        </c:spPr>
      </c:pivotFmt>
      <c:pivotFmt>
        <c:idx val="125"/>
        <c:spPr>
          <a:solidFill>
            <a:schemeClr val="accent1"/>
          </a:solidFill>
          <a:ln w="19050">
            <a:solidFill>
              <a:schemeClr val="lt1"/>
            </a:solidFill>
          </a:ln>
          <a:effectLst/>
        </c:spPr>
      </c:pivotFmt>
    </c:pivotFmts>
    <c:plotArea>
      <c:layout/>
      <c:ofPieChart>
        <c:ofPieType val="bar"/>
        <c:varyColors val="1"/>
        <c:ser>
          <c:idx val="0"/>
          <c:order val="0"/>
          <c:tx>
            <c:strRef>
              <c:f>Sheet4!$B$10</c:f>
              <c:strCache>
                <c:ptCount val="1"/>
                <c:pt idx="0">
                  <c:v>Sum of Total S.Price</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1B3-4CA7-BC6A-84E82630F5B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1B3-4CA7-BC6A-84E82630F5B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1B3-4CA7-BC6A-84E82630F5B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A1B3-4CA7-BC6A-84E82630F5BD}"/>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A1B3-4CA7-BC6A-84E82630F5BD}"/>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A1B3-4CA7-BC6A-84E82630F5BD}"/>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A1B3-4CA7-BC6A-84E82630F5BD}"/>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A1B3-4CA7-BC6A-84E82630F5BD}"/>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A1B3-4CA7-BC6A-84E82630F5BD}"/>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A1B3-4CA7-BC6A-84E82630F5BD}"/>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A1B3-4CA7-BC6A-84E82630F5BD}"/>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A1B3-4CA7-BC6A-84E82630F5BD}"/>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A1B3-4CA7-BC6A-84E82630F5BD}"/>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A1B3-4CA7-BC6A-84E82630F5BD}"/>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A1B3-4CA7-BC6A-84E82630F5BD}"/>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1F-A1B3-4CA7-BC6A-84E82630F5BD}"/>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21-A1B3-4CA7-BC6A-84E82630F5BD}"/>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23-A1B3-4CA7-BC6A-84E82630F5BD}"/>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25-A1B3-4CA7-BC6A-84E82630F5BD}"/>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27-A1B3-4CA7-BC6A-84E82630F5BD}"/>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29-A1B3-4CA7-BC6A-84E82630F5BD}"/>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2B-A1B3-4CA7-BC6A-84E82630F5BD}"/>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2D-A1B3-4CA7-BC6A-84E82630F5BD}"/>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2F-A1B3-4CA7-BC6A-84E82630F5BD}"/>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31-A1B3-4CA7-BC6A-84E82630F5BD}"/>
              </c:ext>
            </c:extLst>
          </c:dPt>
          <c:dPt>
            <c:idx val="25"/>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33-A1B3-4CA7-BC6A-84E82630F5BD}"/>
              </c:ext>
            </c:extLst>
          </c:dPt>
          <c:dPt>
            <c:idx val="26"/>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35-A1B3-4CA7-BC6A-84E82630F5BD}"/>
              </c:ext>
            </c:extLst>
          </c:dPt>
          <c:dPt>
            <c:idx val="27"/>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37-A1B3-4CA7-BC6A-84E82630F5BD}"/>
              </c:ext>
            </c:extLst>
          </c:dPt>
          <c:dPt>
            <c:idx val="28"/>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39-A1B3-4CA7-BC6A-84E82630F5BD}"/>
              </c:ext>
            </c:extLst>
          </c:dPt>
          <c:dPt>
            <c:idx val="29"/>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3B-A1B3-4CA7-BC6A-84E82630F5BD}"/>
              </c:ext>
            </c:extLst>
          </c:dPt>
          <c:dPt>
            <c:idx val="30"/>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03D-A1B3-4CA7-BC6A-84E82630F5BD}"/>
              </c:ext>
            </c:extLst>
          </c:dPt>
          <c:cat>
            <c:strRef>
              <c:f>Sheet4!$A$11:$A$41</c:f>
              <c:strCache>
                <c:ptCount val="30"/>
                <c:pt idx="0">
                  <c:v>Aman</c:v>
                </c:pt>
                <c:pt idx="1">
                  <c:v>Anju.S</c:v>
                </c:pt>
                <c:pt idx="2">
                  <c:v>Chandu</c:v>
                </c:pt>
                <c:pt idx="3">
                  <c:v>Deepak</c:v>
                </c:pt>
                <c:pt idx="4">
                  <c:v>Dheeraj</c:v>
                </c:pt>
                <c:pt idx="5">
                  <c:v>Kalyan.S</c:v>
                </c:pt>
                <c:pt idx="6">
                  <c:v>Kapil</c:v>
                </c:pt>
                <c:pt idx="7">
                  <c:v>Kulwant.S</c:v>
                </c:pt>
                <c:pt idx="8">
                  <c:v>Neeraj</c:v>
                </c:pt>
                <c:pt idx="9">
                  <c:v>Pankaj</c:v>
                </c:pt>
                <c:pt idx="10">
                  <c:v>Panuli</c:v>
                </c:pt>
                <c:pt idx="11">
                  <c:v>Pradeep.K</c:v>
                </c:pt>
                <c:pt idx="12">
                  <c:v>Prakash.N</c:v>
                </c:pt>
                <c:pt idx="13">
                  <c:v>Preetam.S</c:v>
                </c:pt>
                <c:pt idx="14">
                  <c:v>Raghuvir.S</c:v>
                </c:pt>
                <c:pt idx="15">
                  <c:v>Rahul</c:v>
                </c:pt>
                <c:pt idx="16">
                  <c:v>Rajesh </c:v>
                </c:pt>
                <c:pt idx="17">
                  <c:v>Ram T</c:v>
                </c:pt>
                <c:pt idx="18">
                  <c:v>Ram Traders</c:v>
                </c:pt>
                <c:pt idx="19">
                  <c:v>Ravi</c:v>
                </c:pt>
                <c:pt idx="20">
                  <c:v>Rohan</c:v>
                </c:pt>
                <c:pt idx="21">
                  <c:v>Sethi</c:v>
                </c:pt>
                <c:pt idx="22">
                  <c:v>Shivam</c:v>
                </c:pt>
                <c:pt idx="23">
                  <c:v>Shyamu</c:v>
                </c:pt>
                <c:pt idx="24">
                  <c:v>Sohan</c:v>
                </c:pt>
                <c:pt idx="25">
                  <c:v>Sonu</c:v>
                </c:pt>
                <c:pt idx="26">
                  <c:v>Sweety</c:v>
                </c:pt>
                <c:pt idx="27">
                  <c:v>Tota Ram</c:v>
                </c:pt>
                <c:pt idx="28">
                  <c:v>V.R.Sharma</c:v>
                </c:pt>
                <c:pt idx="29">
                  <c:v>Vineet.G</c:v>
                </c:pt>
              </c:strCache>
            </c:strRef>
          </c:cat>
          <c:val>
            <c:numRef>
              <c:f>Sheet4!$B$11:$B$41</c:f>
              <c:numCache>
                <c:formatCode>_ [$₹-4009]\ * #,##0.0_ ;_ [$₹-4009]\ * \-#,##0.0_ ;_ [$₹-4009]\ * "-"??_ ;_ @_ </c:formatCode>
                <c:ptCount val="30"/>
                <c:pt idx="0">
                  <c:v>14100</c:v>
                </c:pt>
                <c:pt idx="1">
                  <c:v>6000</c:v>
                </c:pt>
                <c:pt idx="2">
                  <c:v>7500</c:v>
                </c:pt>
                <c:pt idx="3">
                  <c:v>1250</c:v>
                </c:pt>
                <c:pt idx="4">
                  <c:v>5750</c:v>
                </c:pt>
                <c:pt idx="5">
                  <c:v>6000</c:v>
                </c:pt>
                <c:pt idx="6">
                  <c:v>3750</c:v>
                </c:pt>
                <c:pt idx="7">
                  <c:v>10000</c:v>
                </c:pt>
                <c:pt idx="8">
                  <c:v>3750</c:v>
                </c:pt>
                <c:pt idx="9">
                  <c:v>5000</c:v>
                </c:pt>
                <c:pt idx="10">
                  <c:v>7500</c:v>
                </c:pt>
                <c:pt idx="11">
                  <c:v>12000</c:v>
                </c:pt>
                <c:pt idx="12">
                  <c:v>6000</c:v>
                </c:pt>
                <c:pt idx="13">
                  <c:v>8000</c:v>
                </c:pt>
                <c:pt idx="14">
                  <c:v>6000</c:v>
                </c:pt>
                <c:pt idx="15">
                  <c:v>16100</c:v>
                </c:pt>
                <c:pt idx="16">
                  <c:v>9800</c:v>
                </c:pt>
                <c:pt idx="17">
                  <c:v>6400</c:v>
                </c:pt>
                <c:pt idx="18">
                  <c:v>3450</c:v>
                </c:pt>
                <c:pt idx="19">
                  <c:v>3750</c:v>
                </c:pt>
                <c:pt idx="20">
                  <c:v>9000</c:v>
                </c:pt>
                <c:pt idx="21">
                  <c:v>16000</c:v>
                </c:pt>
                <c:pt idx="22">
                  <c:v>12500</c:v>
                </c:pt>
                <c:pt idx="23">
                  <c:v>3750</c:v>
                </c:pt>
                <c:pt idx="24">
                  <c:v>10500</c:v>
                </c:pt>
                <c:pt idx="25">
                  <c:v>3750</c:v>
                </c:pt>
                <c:pt idx="26">
                  <c:v>2500</c:v>
                </c:pt>
                <c:pt idx="27">
                  <c:v>6000</c:v>
                </c:pt>
                <c:pt idx="28">
                  <c:v>8000</c:v>
                </c:pt>
                <c:pt idx="29">
                  <c:v>14000</c:v>
                </c:pt>
              </c:numCache>
            </c:numRef>
          </c:val>
          <c:extLst>
            <c:ext xmlns:c16="http://schemas.microsoft.com/office/drawing/2014/chart" uri="{C3380CC4-5D6E-409C-BE32-E72D297353CC}">
              <c16:uniqueId val="{0000003E-A1B3-4CA7-BC6A-84E82630F5BD}"/>
            </c:ext>
          </c:extLst>
        </c:ser>
        <c:ser>
          <c:idx val="1"/>
          <c:order val="1"/>
          <c:tx>
            <c:strRef>
              <c:f>Sheet4!$C$10</c:f>
              <c:strCache>
                <c:ptCount val="1"/>
                <c:pt idx="0">
                  <c:v>Sum of Profit Margin</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40-A1B3-4CA7-BC6A-84E82630F5B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42-A1B3-4CA7-BC6A-84E82630F5B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44-A1B3-4CA7-BC6A-84E82630F5B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46-A1B3-4CA7-BC6A-84E82630F5BD}"/>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48-A1B3-4CA7-BC6A-84E82630F5BD}"/>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4A-A1B3-4CA7-BC6A-84E82630F5BD}"/>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4C-A1B3-4CA7-BC6A-84E82630F5BD}"/>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4E-A1B3-4CA7-BC6A-84E82630F5BD}"/>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50-A1B3-4CA7-BC6A-84E82630F5BD}"/>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52-A1B3-4CA7-BC6A-84E82630F5BD}"/>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54-A1B3-4CA7-BC6A-84E82630F5BD}"/>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56-A1B3-4CA7-BC6A-84E82630F5BD}"/>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58-A1B3-4CA7-BC6A-84E82630F5BD}"/>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5A-A1B3-4CA7-BC6A-84E82630F5BD}"/>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5C-A1B3-4CA7-BC6A-84E82630F5BD}"/>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5E-A1B3-4CA7-BC6A-84E82630F5BD}"/>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60-A1B3-4CA7-BC6A-84E82630F5BD}"/>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62-A1B3-4CA7-BC6A-84E82630F5BD}"/>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64-A1B3-4CA7-BC6A-84E82630F5BD}"/>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66-A1B3-4CA7-BC6A-84E82630F5BD}"/>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68-A1B3-4CA7-BC6A-84E82630F5BD}"/>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6A-A1B3-4CA7-BC6A-84E82630F5BD}"/>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6C-A1B3-4CA7-BC6A-84E82630F5BD}"/>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6E-A1B3-4CA7-BC6A-84E82630F5BD}"/>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70-A1B3-4CA7-BC6A-84E82630F5BD}"/>
              </c:ext>
            </c:extLst>
          </c:dPt>
          <c:dPt>
            <c:idx val="25"/>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72-A1B3-4CA7-BC6A-84E82630F5BD}"/>
              </c:ext>
            </c:extLst>
          </c:dPt>
          <c:dPt>
            <c:idx val="26"/>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74-A1B3-4CA7-BC6A-84E82630F5BD}"/>
              </c:ext>
            </c:extLst>
          </c:dPt>
          <c:dPt>
            <c:idx val="27"/>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76-A1B3-4CA7-BC6A-84E82630F5BD}"/>
              </c:ext>
            </c:extLst>
          </c:dPt>
          <c:dPt>
            <c:idx val="28"/>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78-A1B3-4CA7-BC6A-84E82630F5BD}"/>
              </c:ext>
            </c:extLst>
          </c:dPt>
          <c:dPt>
            <c:idx val="29"/>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7A-A1B3-4CA7-BC6A-84E82630F5BD}"/>
              </c:ext>
            </c:extLst>
          </c:dPt>
          <c:dPt>
            <c:idx val="30"/>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07C-A1B3-4CA7-BC6A-84E82630F5BD}"/>
              </c:ext>
            </c:extLst>
          </c:dPt>
          <c:cat>
            <c:strRef>
              <c:f>Sheet4!$A$11:$A$41</c:f>
              <c:strCache>
                <c:ptCount val="30"/>
                <c:pt idx="0">
                  <c:v>Aman</c:v>
                </c:pt>
                <c:pt idx="1">
                  <c:v>Anju.S</c:v>
                </c:pt>
                <c:pt idx="2">
                  <c:v>Chandu</c:v>
                </c:pt>
                <c:pt idx="3">
                  <c:v>Deepak</c:v>
                </c:pt>
                <c:pt idx="4">
                  <c:v>Dheeraj</c:v>
                </c:pt>
                <c:pt idx="5">
                  <c:v>Kalyan.S</c:v>
                </c:pt>
                <c:pt idx="6">
                  <c:v>Kapil</c:v>
                </c:pt>
                <c:pt idx="7">
                  <c:v>Kulwant.S</c:v>
                </c:pt>
                <c:pt idx="8">
                  <c:v>Neeraj</c:v>
                </c:pt>
                <c:pt idx="9">
                  <c:v>Pankaj</c:v>
                </c:pt>
                <c:pt idx="10">
                  <c:v>Panuli</c:v>
                </c:pt>
                <c:pt idx="11">
                  <c:v>Pradeep.K</c:v>
                </c:pt>
                <c:pt idx="12">
                  <c:v>Prakash.N</c:v>
                </c:pt>
                <c:pt idx="13">
                  <c:v>Preetam.S</c:v>
                </c:pt>
                <c:pt idx="14">
                  <c:v>Raghuvir.S</c:v>
                </c:pt>
                <c:pt idx="15">
                  <c:v>Rahul</c:v>
                </c:pt>
                <c:pt idx="16">
                  <c:v>Rajesh </c:v>
                </c:pt>
                <c:pt idx="17">
                  <c:v>Ram T</c:v>
                </c:pt>
                <c:pt idx="18">
                  <c:v>Ram Traders</c:v>
                </c:pt>
                <c:pt idx="19">
                  <c:v>Ravi</c:v>
                </c:pt>
                <c:pt idx="20">
                  <c:v>Rohan</c:v>
                </c:pt>
                <c:pt idx="21">
                  <c:v>Sethi</c:v>
                </c:pt>
                <c:pt idx="22">
                  <c:v>Shivam</c:v>
                </c:pt>
                <c:pt idx="23">
                  <c:v>Shyamu</c:v>
                </c:pt>
                <c:pt idx="24">
                  <c:v>Sohan</c:v>
                </c:pt>
                <c:pt idx="25">
                  <c:v>Sonu</c:v>
                </c:pt>
                <c:pt idx="26">
                  <c:v>Sweety</c:v>
                </c:pt>
                <c:pt idx="27">
                  <c:v>Tota Ram</c:v>
                </c:pt>
                <c:pt idx="28">
                  <c:v>V.R.Sharma</c:v>
                </c:pt>
                <c:pt idx="29">
                  <c:v>Vineet.G</c:v>
                </c:pt>
              </c:strCache>
            </c:strRef>
          </c:cat>
          <c:val>
            <c:numRef>
              <c:f>Sheet4!$C$11:$C$41</c:f>
              <c:numCache>
                <c:formatCode>_ [$₹-4009]\ * #,##0.0_ ;_ [$₹-4009]\ * \-#,##0.0_ ;_ [$₹-4009]\ * "-"?_ ;_ @_ </c:formatCode>
                <c:ptCount val="30"/>
                <c:pt idx="0">
                  <c:v>4950</c:v>
                </c:pt>
                <c:pt idx="1">
                  <c:v>2250</c:v>
                </c:pt>
                <c:pt idx="2">
                  <c:v>2750</c:v>
                </c:pt>
                <c:pt idx="3">
                  <c:v>600</c:v>
                </c:pt>
                <c:pt idx="4">
                  <c:v>2760</c:v>
                </c:pt>
                <c:pt idx="5">
                  <c:v>2250</c:v>
                </c:pt>
                <c:pt idx="6">
                  <c:v>1800</c:v>
                </c:pt>
                <c:pt idx="7">
                  <c:v>3750</c:v>
                </c:pt>
                <c:pt idx="8">
                  <c:v>1800</c:v>
                </c:pt>
                <c:pt idx="9">
                  <c:v>2400</c:v>
                </c:pt>
                <c:pt idx="10">
                  <c:v>3600</c:v>
                </c:pt>
                <c:pt idx="11">
                  <c:v>4500</c:v>
                </c:pt>
                <c:pt idx="12">
                  <c:v>2250</c:v>
                </c:pt>
                <c:pt idx="13">
                  <c:v>3000</c:v>
                </c:pt>
                <c:pt idx="14">
                  <c:v>2250</c:v>
                </c:pt>
                <c:pt idx="15">
                  <c:v>6350</c:v>
                </c:pt>
                <c:pt idx="16">
                  <c:v>3550</c:v>
                </c:pt>
                <c:pt idx="17">
                  <c:v>2400</c:v>
                </c:pt>
                <c:pt idx="18">
                  <c:v>1150</c:v>
                </c:pt>
                <c:pt idx="19">
                  <c:v>1800</c:v>
                </c:pt>
                <c:pt idx="20">
                  <c:v>3250</c:v>
                </c:pt>
                <c:pt idx="21">
                  <c:v>5750</c:v>
                </c:pt>
                <c:pt idx="22">
                  <c:v>4500</c:v>
                </c:pt>
                <c:pt idx="23">
                  <c:v>1800</c:v>
                </c:pt>
                <c:pt idx="24">
                  <c:v>3750</c:v>
                </c:pt>
                <c:pt idx="25">
                  <c:v>1250</c:v>
                </c:pt>
                <c:pt idx="26">
                  <c:v>1200</c:v>
                </c:pt>
                <c:pt idx="27">
                  <c:v>2250</c:v>
                </c:pt>
                <c:pt idx="28">
                  <c:v>3000</c:v>
                </c:pt>
                <c:pt idx="29">
                  <c:v>5250</c:v>
                </c:pt>
              </c:numCache>
            </c:numRef>
          </c:val>
          <c:extLst>
            <c:ext xmlns:c16="http://schemas.microsoft.com/office/drawing/2014/chart" uri="{C3380CC4-5D6E-409C-BE32-E72D297353CC}">
              <c16:uniqueId val="{0000007D-A1B3-4CA7-BC6A-84E82630F5BD}"/>
            </c:ext>
          </c:extLst>
        </c:ser>
        <c:dLbls>
          <c:showLegendKey val="0"/>
          <c:showVal val="0"/>
          <c:showCatName val="0"/>
          <c:showSerName val="0"/>
          <c:showPercent val="0"/>
          <c:showBubbleSize val="0"/>
          <c:showLeaderLines val="1"/>
        </c:dLbls>
        <c:gapWidth val="100"/>
        <c:secondPieSize val="75"/>
        <c:serLines>
          <c:spPr>
            <a:ln w="9525" cap="flat" cmpd="sng" algn="ctr">
              <a:solidFill>
                <a:schemeClr val="tx1">
                  <a:lumMod val="35000"/>
                  <a:lumOff val="65000"/>
                </a:schemeClr>
              </a:solidFill>
              <a:round/>
            </a:ln>
            <a:effectLst/>
          </c:spPr>
        </c:serLines>
      </c:of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1">
        <a:lumMod val="40000"/>
        <a:lumOff val="60000"/>
      </a:schemeClr>
    </a:solidFill>
    <a:ln w="9525" cap="flat" cmpd="sng" algn="ctr">
      <a:solidFill>
        <a:schemeClr val="accent5">
          <a:lumMod val="50000"/>
        </a:schemeClr>
      </a:solidFill>
      <a:round/>
    </a:ln>
    <a:effectLst>
      <a:glow rad="228600">
        <a:schemeClr val="accent1">
          <a:satMod val="175000"/>
          <a:alpha val="40000"/>
        </a:schemeClr>
      </a:glo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[VBA And Macros File formula(MCRO) File1.xlsm]Sheet4!ID NAME</c:name>
    <c:fmtId val="22"/>
  </c:pivotSource>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IN">
                <a:ln>
                  <a:solidFill>
                    <a:schemeClr val="tx1"/>
                  </a:solidFill>
                </a:ln>
                <a:solidFill>
                  <a:schemeClr val="dk1"/>
                </a:solidFill>
                <a:latin typeface="+mn-lt"/>
                <a:ea typeface="+mn-ea"/>
                <a:cs typeface="+mn-cs"/>
              </a:rPr>
              <a:t>ID</a:t>
            </a:r>
            <a:r>
              <a:rPr lang="en-IN" baseline="0">
                <a:ln>
                  <a:solidFill>
                    <a:schemeClr val="tx1"/>
                  </a:solidFill>
                </a:ln>
                <a:solidFill>
                  <a:schemeClr val="dk1"/>
                </a:solidFill>
                <a:latin typeface="+mn-lt"/>
                <a:ea typeface="+mn-ea"/>
                <a:cs typeface="+mn-cs"/>
              </a:rPr>
              <a:t> wise Sales &amp; Profit Data</a:t>
            </a:r>
            <a:endParaRPr lang="en-IN">
              <a:ln>
                <a:solidFill>
                  <a:schemeClr val="tx1"/>
                </a:solidFill>
              </a:ln>
            </a:endParaRPr>
          </a:p>
        </c:rich>
      </c:tx>
      <c:overlay val="0"/>
      <c:spPr>
        <a:solidFill>
          <a:schemeClr val="lt1"/>
        </a:solidFill>
        <a:ln w="12700" cap="flat" cmpd="sng" algn="ctr">
          <a:solidFill>
            <a:schemeClr val="dk1"/>
          </a:solidFill>
          <a:prstDash val="solid"/>
          <a:miter lim="800000"/>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percentStacked"/>
        <c:varyColors val="0"/>
        <c:ser>
          <c:idx val="0"/>
          <c:order val="0"/>
          <c:tx>
            <c:strRef>
              <c:f>Sheet4!$G$3</c:f>
              <c:strCache>
                <c:ptCount val="1"/>
                <c:pt idx="0">
                  <c:v>Sum of Total S.Price</c:v>
                </c:pt>
              </c:strCache>
            </c:strRef>
          </c:tx>
          <c:spPr>
            <a:solidFill>
              <a:schemeClr val="accent1"/>
            </a:solidFill>
            <a:ln>
              <a:noFill/>
            </a:ln>
            <a:effectLst/>
          </c:spPr>
          <c:invertIfNegative val="0"/>
          <c:cat>
            <c:strRef>
              <c:f>Sheet4!$F$4:$F$43</c:f>
              <c:strCache>
                <c:ptCount val="39"/>
                <c:pt idx="0">
                  <c:v>ID -101</c:v>
                </c:pt>
                <c:pt idx="1">
                  <c:v>ID -102</c:v>
                </c:pt>
                <c:pt idx="2">
                  <c:v>ID -103</c:v>
                </c:pt>
                <c:pt idx="3">
                  <c:v>ID -104</c:v>
                </c:pt>
                <c:pt idx="4">
                  <c:v>ID -105</c:v>
                </c:pt>
                <c:pt idx="5">
                  <c:v>ID -106</c:v>
                </c:pt>
                <c:pt idx="6">
                  <c:v>ID -107</c:v>
                </c:pt>
                <c:pt idx="7">
                  <c:v>ID -108</c:v>
                </c:pt>
                <c:pt idx="8">
                  <c:v>ID -109</c:v>
                </c:pt>
                <c:pt idx="9">
                  <c:v>ID -110</c:v>
                </c:pt>
                <c:pt idx="10">
                  <c:v>ID -111</c:v>
                </c:pt>
                <c:pt idx="11">
                  <c:v>ID -112</c:v>
                </c:pt>
                <c:pt idx="12">
                  <c:v>ID -113</c:v>
                </c:pt>
                <c:pt idx="13">
                  <c:v>ID -114</c:v>
                </c:pt>
                <c:pt idx="14">
                  <c:v>ID -115</c:v>
                </c:pt>
                <c:pt idx="15">
                  <c:v>ID -116</c:v>
                </c:pt>
                <c:pt idx="16">
                  <c:v>ID -117</c:v>
                </c:pt>
                <c:pt idx="17">
                  <c:v>ID -118</c:v>
                </c:pt>
                <c:pt idx="18">
                  <c:v>ID -119</c:v>
                </c:pt>
                <c:pt idx="19">
                  <c:v>ID -120</c:v>
                </c:pt>
                <c:pt idx="20">
                  <c:v>ID -121</c:v>
                </c:pt>
                <c:pt idx="21">
                  <c:v>ID -122</c:v>
                </c:pt>
                <c:pt idx="22">
                  <c:v>ID -123</c:v>
                </c:pt>
                <c:pt idx="23">
                  <c:v>ID -124</c:v>
                </c:pt>
                <c:pt idx="24">
                  <c:v>ID -125</c:v>
                </c:pt>
                <c:pt idx="25">
                  <c:v>ID -126</c:v>
                </c:pt>
                <c:pt idx="26">
                  <c:v>ID -127</c:v>
                </c:pt>
                <c:pt idx="27">
                  <c:v>ID -128</c:v>
                </c:pt>
                <c:pt idx="28">
                  <c:v>ID -129</c:v>
                </c:pt>
                <c:pt idx="29">
                  <c:v>ID -130</c:v>
                </c:pt>
                <c:pt idx="30">
                  <c:v>ID -131</c:v>
                </c:pt>
                <c:pt idx="31">
                  <c:v>ID -132</c:v>
                </c:pt>
                <c:pt idx="32">
                  <c:v>ID -133</c:v>
                </c:pt>
                <c:pt idx="33">
                  <c:v>ID -134</c:v>
                </c:pt>
                <c:pt idx="34">
                  <c:v>ID -135</c:v>
                </c:pt>
                <c:pt idx="35">
                  <c:v>ID -136</c:v>
                </c:pt>
                <c:pt idx="36">
                  <c:v>ID -137</c:v>
                </c:pt>
                <c:pt idx="37">
                  <c:v>ID -138</c:v>
                </c:pt>
                <c:pt idx="38">
                  <c:v>ID -139</c:v>
                </c:pt>
              </c:strCache>
            </c:strRef>
          </c:cat>
          <c:val>
            <c:numRef>
              <c:f>Sheet4!$G$4:$G$43</c:f>
              <c:numCache>
                <c:formatCode>_ [$₹-4009]\ * #,##0.0_ ;_ [$₹-4009]\ * \-#,##0.0_ ;_ [$₹-4009]\ * "-"??_ ;_ @_ </c:formatCode>
                <c:ptCount val="39"/>
                <c:pt idx="0">
                  <c:v>3450</c:v>
                </c:pt>
                <c:pt idx="1">
                  <c:v>3000</c:v>
                </c:pt>
                <c:pt idx="2">
                  <c:v>4500</c:v>
                </c:pt>
                <c:pt idx="3">
                  <c:v>6000</c:v>
                </c:pt>
                <c:pt idx="4">
                  <c:v>5100</c:v>
                </c:pt>
                <c:pt idx="5">
                  <c:v>8100</c:v>
                </c:pt>
                <c:pt idx="6">
                  <c:v>4500</c:v>
                </c:pt>
                <c:pt idx="7">
                  <c:v>1500</c:v>
                </c:pt>
                <c:pt idx="8">
                  <c:v>3000</c:v>
                </c:pt>
                <c:pt idx="9">
                  <c:v>3750</c:v>
                </c:pt>
                <c:pt idx="10">
                  <c:v>2500</c:v>
                </c:pt>
                <c:pt idx="11">
                  <c:v>1250</c:v>
                </c:pt>
                <c:pt idx="12">
                  <c:v>3750</c:v>
                </c:pt>
                <c:pt idx="13">
                  <c:v>3750</c:v>
                </c:pt>
                <c:pt idx="14">
                  <c:v>3750</c:v>
                </c:pt>
                <c:pt idx="15">
                  <c:v>5000</c:v>
                </c:pt>
                <c:pt idx="16">
                  <c:v>7500</c:v>
                </c:pt>
                <c:pt idx="17">
                  <c:v>3750</c:v>
                </c:pt>
                <c:pt idx="18">
                  <c:v>5000</c:v>
                </c:pt>
                <c:pt idx="19">
                  <c:v>5750</c:v>
                </c:pt>
                <c:pt idx="20">
                  <c:v>6000</c:v>
                </c:pt>
                <c:pt idx="21">
                  <c:v>6000</c:v>
                </c:pt>
                <c:pt idx="22">
                  <c:v>8000</c:v>
                </c:pt>
                <c:pt idx="23">
                  <c:v>10000</c:v>
                </c:pt>
                <c:pt idx="24">
                  <c:v>12000</c:v>
                </c:pt>
                <c:pt idx="25">
                  <c:v>14000</c:v>
                </c:pt>
                <c:pt idx="26">
                  <c:v>6400</c:v>
                </c:pt>
                <c:pt idx="27">
                  <c:v>6800</c:v>
                </c:pt>
                <c:pt idx="28">
                  <c:v>8000</c:v>
                </c:pt>
                <c:pt idx="29">
                  <c:v>10000</c:v>
                </c:pt>
                <c:pt idx="30">
                  <c:v>6000</c:v>
                </c:pt>
                <c:pt idx="31">
                  <c:v>6000</c:v>
                </c:pt>
                <c:pt idx="32">
                  <c:v>6000</c:v>
                </c:pt>
                <c:pt idx="33">
                  <c:v>6000</c:v>
                </c:pt>
                <c:pt idx="34">
                  <c:v>6000</c:v>
                </c:pt>
                <c:pt idx="35">
                  <c:v>6000</c:v>
                </c:pt>
                <c:pt idx="36">
                  <c:v>6000</c:v>
                </c:pt>
                <c:pt idx="37">
                  <c:v>6000</c:v>
                </c:pt>
                <c:pt idx="38">
                  <c:v>8000</c:v>
                </c:pt>
              </c:numCache>
            </c:numRef>
          </c:val>
          <c:extLst>
            <c:ext xmlns:c16="http://schemas.microsoft.com/office/drawing/2014/chart" uri="{C3380CC4-5D6E-409C-BE32-E72D297353CC}">
              <c16:uniqueId val="{00000000-E3E3-4418-8922-E8E663B024F7}"/>
            </c:ext>
          </c:extLst>
        </c:ser>
        <c:ser>
          <c:idx val="1"/>
          <c:order val="1"/>
          <c:tx>
            <c:strRef>
              <c:f>Sheet4!$H$3</c:f>
              <c:strCache>
                <c:ptCount val="1"/>
                <c:pt idx="0">
                  <c:v>Sum of Total C.Price</c:v>
                </c:pt>
              </c:strCache>
            </c:strRef>
          </c:tx>
          <c:spPr>
            <a:solidFill>
              <a:schemeClr val="accent2"/>
            </a:solidFill>
            <a:ln>
              <a:noFill/>
            </a:ln>
            <a:effectLst/>
          </c:spPr>
          <c:invertIfNegative val="0"/>
          <c:cat>
            <c:strRef>
              <c:f>Sheet4!$F$4:$F$43</c:f>
              <c:strCache>
                <c:ptCount val="39"/>
                <c:pt idx="0">
                  <c:v>ID -101</c:v>
                </c:pt>
                <c:pt idx="1">
                  <c:v>ID -102</c:v>
                </c:pt>
                <c:pt idx="2">
                  <c:v>ID -103</c:v>
                </c:pt>
                <c:pt idx="3">
                  <c:v>ID -104</c:v>
                </c:pt>
                <c:pt idx="4">
                  <c:v>ID -105</c:v>
                </c:pt>
                <c:pt idx="5">
                  <c:v>ID -106</c:v>
                </c:pt>
                <c:pt idx="6">
                  <c:v>ID -107</c:v>
                </c:pt>
                <c:pt idx="7">
                  <c:v>ID -108</c:v>
                </c:pt>
                <c:pt idx="8">
                  <c:v>ID -109</c:v>
                </c:pt>
                <c:pt idx="9">
                  <c:v>ID -110</c:v>
                </c:pt>
                <c:pt idx="10">
                  <c:v>ID -111</c:v>
                </c:pt>
                <c:pt idx="11">
                  <c:v>ID -112</c:v>
                </c:pt>
                <c:pt idx="12">
                  <c:v>ID -113</c:v>
                </c:pt>
                <c:pt idx="13">
                  <c:v>ID -114</c:v>
                </c:pt>
                <c:pt idx="14">
                  <c:v>ID -115</c:v>
                </c:pt>
                <c:pt idx="15">
                  <c:v>ID -116</c:v>
                </c:pt>
                <c:pt idx="16">
                  <c:v>ID -117</c:v>
                </c:pt>
                <c:pt idx="17">
                  <c:v>ID -118</c:v>
                </c:pt>
                <c:pt idx="18">
                  <c:v>ID -119</c:v>
                </c:pt>
                <c:pt idx="19">
                  <c:v>ID -120</c:v>
                </c:pt>
                <c:pt idx="20">
                  <c:v>ID -121</c:v>
                </c:pt>
                <c:pt idx="21">
                  <c:v>ID -122</c:v>
                </c:pt>
                <c:pt idx="22">
                  <c:v>ID -123</c:v>
                </c:pt>
                <c:pt idx="23">
                  <c:v>ID -124</c:v>
                </c:pt>
                <c:pt idx="24">
                  <c:v>ID -125</c:v>
                </c:pt>
                <c:pt idx="25">
                  <c:v>ID -126</c:v>
                </c:pt>
                <c:pt idx="26">
                  <c:v>ID -127</c:v>
                </c:pt>
                <c:pt idx="27">
                  <c:v>ID -128</c:v>
                </c:pt>
                <c:pt idx="28">
                  <c:v>ID -129</c:v>
                </c:pt>
                <c:pt idx="29">
                  <c:v>ID -130</c:v>
                </c:pt>
                <c:pt idx="30">
                  <c:v>ID -131</c:v>
                </c:pt>
                <c:pt idx="31">
                  <c:v>ID -132</c:v>
                </c:pt>
                <c:pt idx="32">
                  <c:v>ID -133</c:v>
                </c:pt>
                <c:pt idx="33">
                  <c:v>ID -134</c:v>
                </c:pt>
                <c:pt idx="34">
                  <c:v>ID -135</c:v>
                </c:pt>
                <c:pt idx="35">
                  <c:v>ID -136</c:v>
                </c:pt>
                <c:pt idx="36">
                  <c:v>ID -137</c:v>
                </c:pt>
                <c:pt idx="37">
                  <c:v>ID -138</c:v>
                </c:pt>
                <c:pt idx="38">
                  <c:v>ID -139</c:v>
                </c:pt>
              </c:strCache>
            </c:strRef>
          </c:cat>
          <c:val>
            <c:numRef>
              <c:f>Sheet4!$H$4:$H$43</c:f>
              <c:numCache>
                <c:formatCode>_ [$₹-4009]\ * #,##0.0_ ;_ [$₹-4009]\ * \-#,##0.0_ ;_ [$₹-4009]\ * "-"?_ ;_ @_ </c:formatCode>
                <c:ptCount val="39"/>
                <c:pt idx="0">
                  <c:v>2300</c:v>
                </c:pt>
                <c:pt idx="1">
                  <c:v>2000</c:v>
                </c:pt>
                <c:pt idx="2">
                  <c:v>3000</c:v>
                </c:pt>
                <c:pt idx="3">
                  <c:v>4000</c:v>
                </c:pt>
                <c:pt idx="4">
                  <c:v>3400</c:v>
                </c:pt>
                <c:pt idx="5">
                  <c:v>5400</c:v>
                </c:pt>
                <c:pt idx="6">
                  <c:v>3000</c:v>
                </c:pt>
                <c:pt idx="7">
                  <c:v>1000</c:v>
                </c:pt>
                <c:pt idx="8">
                  <c:v>2000</c:v>
                </c:pt>
                <c:pt idx="9">
                  <c:v>2500</c:v>
                </c:pt>
                <c:pt idx="10">
                  <c:v>1300</c:v>
                </c:pt>
                <c:pt idx="11">
                  <c:v>650</c:v>
                </c:pt>
                <c:pt idx="12">
                  <c:v>1950</c:v>
                </c:pt>
                <c:pt idx="13">
                  <c:v>1950</c:v>
                </c:pt>
                <c:pt idx="14">
                  <c:v>1950</c:v>
                </c:pt>
                <c:pt idx="15">
                  <c:v>2600</c:v>
                </c:pt>
                <c:pt idx="16">
                  <c:v>3900</c:v>
                </c:pt>
                <c:pt idx="17">
                  <c:v>1950</c:v>
                </c:pt>
                <c:pt idx="18">
                  <c:v>2600</c:v>
                </c:pt>
                <c:pt idx="19">
                  <c:v>2990</c:v>
                </c:pt>
                <c:pt idx="20">
                  <c:v>3750</c:v>
                </c:pt>
                <c:pt idx="21">
                  <c:v>3750</c:v>
                </c:pt>
                <c:pt idx="22">
                  <c:v>5000</c:v>
                </c:pt>
                <c:pt idx="23">
                  <c:v>6250</c:v>
                </c:pt>
                <c:pt idx="24">
                  <c:v>7500</c:v>
                </c:pt>
                <c:pt idx="25">
                  <c:v>8750</c:v>
                </c:pt>
                <c:pt idx="26">
                  <c:v>4000</c:v>
                </c:pt>
                <c:pt idx="27">
                  <c:v>4250</c:v>
                </c:pt>
                <c:pt idx="28">
                  <c:v>5000</c:v>
                </c:pt>
                <c:pt idx="29">
                  <c:v>6250</c:v>
                </c:pt>
                <c:pt idx="30">
                  <c:v>3750</c:v>
                </c:pt>
                <c:pt idx="31">
                  <c:v>3750</c:v>
                </c:pt>
                <c:pt idx="32">
                  <c:v>3750</c:v>
                </c:pt>
                <c:pt idx="33">
                  <c:v>3750</c:v>
                </c:pt>
                <c:pt idx="34">
                  <c:v>3750</c:v>
                </c:pt>
                <c:pt idx="35">
                  <c:v>3750</c:v>
                </c:pt>
                <c:pt idx="36">
                  <c:v>3750</c:v>
                </c:pt>
                <c:pt idx="37">
                  <c:v>3750</c:v>
                </c:pt>
                <c:pt idx="38">
                  <c:v>5000</c:v>
                </c:pt>
              </c:numCache>
            </c:numRef>
          </c:val>
          <c:extLst>
            <c:ext xmlns:c16="http://schemas.microsoft.com/office/drawing/2014/chart" uri="{C3380CC4-5D6E-409C-BE32-E72D297353CC}">
              <c16:uniqueId val="{00000001-E3E3-4418-8922-E8E663B024F7}"/>
            </c:ext>
          </c:extLst>
        </c:ser>
        <c:ser>
          <c:idx val="2"/>
          <c:order val="2"/>
          <c:tx>
            <c:strRef>
              <c:f>Sheet4!$I$3</c:f>
              <c:strCache>
                <c:ptCount val="1"/>
                <c:pt idx="0">
                  <c:v>Sum of Profit Margin</c:v>
                </c:pt>
              </c:strCache>
            </c:strRef>
          </c:tx>
          <c:spPr>
            <a:solidFill>
              <a:schemeClr val="accent3"/>
            </a:solidFill>
            <a:ln>
              <a:noFill/>
            </a:ln>
            <a:effectLst/>
          </c:spPr>
          <c:invertIfNegative val="0"/>
          <c:cat>
            <c:strRef>
              <c:f>Sheet4!$F$4:$F$43</c:f>
              <c:strCache>
                <c:ptCount val="39"/>
                <c:pt idx="0">
                  <c:v>ID -101</c:v>
                </c:pt>
                <c:pt idx="1">
                  <c:v>ID -102</c:v>
                </c:pt>
                <c:pt idx="2">
                  <c:v>ID -103</c:v>
                </c:pt>
                <c:pt idx="3">
                  <c:v>ID -104</c:v>
                </c:pt>
                <c:pt idx="4">
                  <c:v>ID -105</c:v>
                </c:pt>
                <c:pt idx="5">
                  <c:v>ID -106</c:v>
                </c:pt>
                <c:pt idx="6">
                  <c:v>ID -107</c:v>
                </c:pt>
                <c:pt idx="7">
                  <c:v>ID -108</c:v>
                </c:pt>
                <c:pt idx="8">
                  <c:v>ID -109</c:v>
                </c:pt>
                <c:pt idx="9">
                  <c:v>ID -110</c:v>
                </c:pt>
                <c:pt idx="10">
                  <c:v>ID -111</c:v>
                </c:pt>
                <c:pt idx="11">
                  <c:v>ID -112</c:v>
                </c:pt>
                <c:pt idx="12">
                  <c:v>ID -113</c:v>
                </c:pt>
                <c:pt idx="13">
                  <c:v>ID -114</c:v>
                </c:pt>
                <c:pt idx="14">
                  <c:v>ID -115</c:v>
                </c:pt>
                <c:pt idx="15">
                  <c:v>ID -116</c:v>
                </c:pt>
                <c:pt idx="16">
                  <c:v>ID -117</c:v>
                </c:pt>
                <c:pt idx="17">
                  <c:v>ID -118</c:v>
                </c:pt>
                <c:pt idx="18">
                  <c:v>ID -119</c:v>
                </c:pt>
                <c:pt idx="19">
                  <c:v>ID -120</c:v>
                </c:pt>
                <c:pt idx="20">
                  <c:v>ID -121</c:v>
                </c:pt>
                <c:pt idx="21">
                  <c:v>ID -122</c:v>
                </c:pt>
                <c:pt idx="22">
                  <c:v>ID -123</c:v>
                </c:pt>
                <c:pt idx="23">
                  <c:v>ID -124</c:v>
                </c:pt>
                <c:pt idx="24">
                  <c:v>ID -125</c:v>
                </c:pt>
                <c:pt idx="25">
                  <c:v>ID -126</c:v>
                </c:pt>
                <c:pt idx="26">
                  <c:v>ID -127</c:v>
                </c:pt>
                <c:pt idx="27">
                  <c:v>ID -128</c:v>
                </c:pt>
                <c:pt idx="28">
                  <c:v>ID -129</c:v>
                </c:pt>
                <c:pt idx="29">
                  <c:v>ID -130</c:v>
                </c:pt>
                <c:pt idx="30">
                  <c:v>ID -131</c:v>
                </c:pt>
                <c:pt idx="31">
                  <c:v>ID -132</c:v>
                </c:pt>
                <c:pt idx="32">
                  <c:v>ID -133</c:v>
                </c:pt>
                <c:pt idx="33">
                  <c:v>ID -134</c:v>
                </c:pt>
                <c:pt idx="34">
                  <c:v>ID -135</c:v>
                </c:pt>
                <c:pt idx="35">
                  <c:v>ID -136</c:v>
                </c:pt>
                <c:pt idx="36">
                  <c:v>ID -137</c:v>
                </c:pt>
                <c:pt idx="37">
                  <c:v>ID -138</c:v>
                </c:pt>
                <c:pt idx="38">
                  <c:v>ID -139</c:v>
                </c:pt>
              </c:strCache>
            </c:strRef>
          </c:cat>
          <c:val>
            <c:numRef>
              <c:f>Sheet4!$I$4:$I$43</c:f>
              <c:numCache>
                <c:formatCode>_ [$₹-4009]\ * #,##0.0_ ;_ [$₹-4009]\ * \-#,##0.0_ ;_ [$₹-4009]\ * "-"?_ ;_ @_ </c:formatCode>
                <c:ptCount val="39"/>
                <c:pt idx="0">
                  <c:v>1150</c:v>
                </c:pt>
                <c:pt idx="1">
                  <c:v>1000</c:v>
                </c:pt>
                <c:pt idx="2">
                  <c:v>1500</c:v>
                </c:pt>
                <c:pt idx="3">
                  <c:v>2000</c:v>
                </c:pt>
                <c:pt idx="4">
                  <c:v>1700</c:v>
                </c:pt>
                <c:pt idx="5">
                  <c:v>2700</c:v>
                </c:pt>
                <c:pt idx="6">
                  <c:v>1500</c:v>
                </c:pt>
                <c:pt idx="7">
                  <c:v>500</c:v>
                </c:pt>
                <c:pt idx="8">
                  <c:v>1000</c:v>
                </c:pt>
                <c:pt idx="9">
                  <c:v>1250</c:v>
                </c:pt>
                <c:pt idx="10">
                  <c:v>1200</c:v>
                </c:pt>
                <c:pt idx="11">
                  <c:v>600</c:v>
                </c:pt>
                <c:pt idx="12">
                  <c:v>1800</c:v>
                </c:pt>
                <c:pt idx="13">
                  <c:v>1800</c:v>
                </c:pt>
                <c:pt idx="14">
                  <c:v>1800</c:v>
                </c:pt>
                <c:pt idx="15">
                  <c:v>2400</c:v>
                </c:pt>
                <c:pt idx="16">
                  <c:v>3600</c:v>
                </c:pt>
                <c:pt idx="17">
                  <c:v>1800</c:v>
                </c:pt>
                <c:pt idx="18">
                  <c:v>2400</c:v>
                </c:pt>
                <c:pt idx="19">
                  <c:v>2760</c:v>
                </c:pt>
                <c:pt idx="20">
                  <c:v>2250</c:v>
                </c:pt>
                <c:pt idx="21">
                  <c:v>2250</c:v>
                </c:pt>
                <c:pt idx="22">
                  <c:v>3000</c:v>
                </c:pt>
                <c:pt idx="23">
                  <c:v>3750</c:v>
                </c:pt>
                <c:pt idx="24">
                  <c:v>4500</c:v>
                </c:pt>
                <c:pt idx="25">
                  <c:v>5250</c:v>
                </c:pt>
                <c:pt idx="26">
                  <c:v>2400</c:v>
                </c:pt>
                <c:pt idx="27">
                  <c:v>2550</c:v>
                </c:pt>
                <c:pt idx="28">
                  <c:v>3000</c:v>
                </c:pt>
                <c:pt idx="29">
                  <c:v>3750</c:v>
                </c:pt>
                <c:pt idx="30">
                  <c:v>2250</c:v>
                </c:pt>
                <c:pt idx="31">
                  <c:v>2250</c:v>
                </c:pt>
                <c:pt idx="32">
                  <c:v>2250</c:v>
                </c:pt>
                <c:pt idx="33">
                  <c:v>2250</c:v>
                </c:pt>
                <c:pt idx="34">
                  <c:v>2250</c:v>
                </c:pt>
                <c:pt idx="35">
                  <c:v>2250</c:v>
                </c:pt>
                <c:pt idx="36">
                  <c:v>2250</c:v>
                </c:pt>
                <c:pt idx="37">
                  <c:v>2250</c:v>
                </c:pt>
                <c:pt idx="38">
                  <c:v>3000</c:v>
                </c:pt>
              </c:numCache>
            </c:numRef>
          </c:val>
          <c:extLst>
            <c:ext xmlns:c16="http://schemas.microsoft.com/office/drawing/2014/chart" uri="{C3380CC4-5D6E-409C-BE32-E72D297353CC}">
              <c16:uniqueId val="{00000002-E3E3-4418-8922-E8E663B024F7}"/>
            </c:ext>
          </c:extLst>
        </c:ser>
        <c:dLbls>
          <c:showLegendKey val="0"/>
          <c:showVal val="0"/>
          <c:showCatName val="0"/>
          <c:showSerName val="0"/>
          <c:showPercent val="0"/>
          <c:showBubbleSize val="0"/>
        </c:dLbls>
        <c:gapWidth val="150"/>
        <c:overlap val="100"/>
        <c:axId val="159395168"/>
        <c:axId val="159411968"/>
      </c:barChart>
      <c:catAx>
        <c:axId val="15939516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9411968"/>
        <c:crosses val="autoZero"/>
        <c:auto val="1"/>
        <c:lblAlgn val="ctr"/>
        <c:lblOffset val="100"/>
        <c:noMultiLvlLbl val="0"/>
      </c:catAx>
      <c:valAx>
        <c:axId val="159411968"/>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93951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6">
        <a:lumMod val="40000"/>
        <a:lumOff val="60000"/>
      </a:schemeClr>
    </a:solidFill>
    <a:ln w="9525" cap="flat" cmpd="sng" algn="ctr">
      <a:solidFill>
        <a:schemeClr val="tx1"/>
      </a:solidFill>
      <a:round/>
    </a:ln>
    <a:effectLst>
      <a:softEdge rad="12700"/>
    </a:effectLst>
    <a:scene3d>
      <a:camera prst="orthographicFront"/>
      <a:lightRig rig="threePt" dir="t"/>
    </a:scene3d>
    <a:sp3d prstMaterial="matte">
      <a:bevelT w="63500" h="63500" prst="artDeco"/>
      <a:contourClr>
        <a:srgbClr val="000000"/>
      </a:contourClr>
    </a:sp3d>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[VBA And Macros File formula(MCRO) File1.xlsm]Sheet4!SIZE</c:name>
    <c:fmtId val="50"/>
  </c:pivotSource>
  <c:chart>
    <c:title>
      <c:tx>
        <c:rich>
          <a:bodyPr rot="0" spcFirstLastPara="1" vertOverflow="ellipsis" vert="horz" wrap="square" anchor="ctr" anchorCtr="1"/>
          <a:lstStyle/>
          <a:p>
            <a:pPr>
              <a:defRPr sz="1400" b="0" i="0" u="none" strike="noStrike" kern="1200" cap="none" spc="0" baseline="0">
                <a:ln w="0">
                  <a:solidFill>
                    <a:schemeClr val="tx1"/>
                  </a:solidFill>
                </a:ln>
                <a:solidFill>
                  <a:schemeClr val="tx1"/>
                </a:solidFill>
                <a:effectLst>
                  <a:outerShdw blurRad="38100" dist="19050" dir="2700000" algn="tl" rotWithShape="0">
                    <a:schemeClr val="dk1">
                      <a:alpha val="40000"/>
                    </a:schemeClr>
                  </a:outerShdw>
                </a:effectLst>
                <a:latin typeface="+mn-lt"/>
                <a:ea typeface="+mn-ea"/>
                <a:cs typeface="+mn-cs"/>
              </a:defRPr>
            </a:pPr>
            <a:r>
              <a:rPr lang="en-IN" b="0" cap="none" spc="0">
                <a:ln w="0">
                  <a:solidFill>
                    <a:schemeClr val="tx1"/>
                  </a:solidFill>
                </a:ln>
                <a:solidFill>
                  <a:schemeClr val="tx1"/>
                </a:solidFill>
                <a:effectLst>
                  <a:outerShdw blurRad="38100" dist="19050" dir="2700000" algn="tl" rotWithShape="0">
                    <a:schemeClr val="dk1">
                      <a:alpha val="40000"/>
                    </a:schemeClr>
                  </a:outerShdw>
                </a:effectLst>
                <a:latin typeface="+mn-lt"/>
                <a:ea typeface="+mn-ea"/>
                <a:cs typeface="+mn-cs"/>
              </a:rPr>
              <a:t>Quantity</a:t>
            </a:r>
            <a:r>
              <a:rPr lang="en-IN" b="0" cap="none" spc="0" baseline="0">
                <a:ln w="0">
                  <a:solidFill>
                    <a:schemeClr val="tx1"/>
                  </a:solidFill>
                </a:ln>
                <a:solidFill>
                  <a:schemeClr val="tx1"/>
                </a:solidFill>
                <a:effectLst>
                  <a:outerShdw blurRad="38100" dist="19050" dir="2700000" algn="tl" rotWithShape="0">
                    <a:schemeClr val="dk1">
                      <a:alpha val="40000"/>
                    </a:schemeClr>
                  </a:outerShdw>
                </a:effectLst>
                <a:latin typeface="+mn-lt"/>
                <a:ea typeface="+mn-ea"/>
                <a:cs typeface="+mn-cs"/>
              </a:rPr>
              <a:t> Sales Analysis</a:t>
            </a:r>
            <a:endParaRPr lang="en-IN" b="0" cap="none" spc="0" baseline="0">
              <a:ln w="0">
                <a:solidFill>
                  <a:schemeClr val="tx1"/>
                </a:solidFill>
              </a:ln>
              <a:solidFill>
                <a:schemeClr val="tx1"/>
              </a:solidFill>
              <a:effectLst>
                <a:outerShdw blurRad="38100" dist="19050" dir="2700000" algn="tl" rotWithShape="0">
                  <a:schemeClr val="dk1">
                    <a:alpha val="40000"/>
                  </a:schemeClr>
                </a:outerShdw>
              </a:effectLst>
            </a:endParaRPr>
          </a:p>
        </c:rich>
      </c:tx>
      <c:overlay val="0"/>
      <c:spPr>
        <a:solidFill>
          <a:schemeClr val="lt1"/>
        </a:solidFill>
        <a:ln w="12700" cap="flat" cmpd="sng" algn="ctr">
          <a:solidFill>
            <a:schemeClr val="dk1"/>
          </a:solidFill>
          <a:prstDash val="solid"/>
          <a:miter lim="800000"/>
        </a:ln>
        <a:effectLst/>
      </c:spPr>
      <c:txPr>
        <a:bodyPr rot="0" spcFirstLastPara="1" vertOverflow="ellipsis" vert="horz" wrap="square" anchor="ctr" anchorCtr="1"/>
        <a:lstStyle/>
        <a:p>
          <a:pPr>
            <a:defRPr sz="1400" b="0" i="0" u="none" strike="noStrike" kern="1200" cap="none" spc="0" baseline="0">
              <a:ln w="0">
                <a:solidFill>
                  <a:schemeClr val="tx1"/>
                </a:solidFill>
              </a:ln>
              <a:solidFill>
                <a:schemeClr val="tx1"/>
              </a:solidFill>
              <a:effectLst>
                <a:outerShdw blurRad="38100" dist="19050" dir="2700000" algn="tl" rotWithShape="0">
                  <a:schemeClr val="dk1">
                    <a:alpha val="40000"/>
                  </a:schemeClr>
                </a:outerShdw>
              </a:effectLst>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Sheet4!$L$4</c:f>
              <c:strCache>
                <c:ptCount val="1"/>
                <c:pt idx="0">
                  <c:v>Sum of Total S.Price</c:v>
                </c:pt>
              </c:strCache>
            </c:strRef>
          </c:tx>
          <c:spPr>
            <a:solidFill>
              <a:schemeClr val="accent1"/>
            </a:solidFill>
            <a:ln>
              <a:noFill/>
            </a:ln>
            <a:effectLst/>
          </c:spPr>
          <c:invertIfNegative val="0"/>
          <c:cat>
            <c:strRef>
              <c:f>Sheet4!$K$5:$K$18</c:f>
              <c:strCache>
                <c:ptCount val="13"/>
                <c:pt idx="0">
                  <c:v>5</c:v>
                </c:pt>
                <c:pt idx="1">
                  <c:v>10</c:v>
                </c:pt>
                <c:pt idx="2">
                  <c:v>15</c:v>
                </c:pt>
                <c:pt idx="3">
                  <c:v>16</c:v>
                </c:pt>
                <c:pt idx="4">
                  <c:v>17</c:v>
                </c:pt>
                <c:pt idx="5">
                  <c:v>20</c:v>
                </c:pt>
                <c:pt idx="6">
                  <c:v>23</c:v>
                </c:pt>
                <c:pt idx="7">
                  <c:v>25</c:v>
                </c:pt>
                <c:pt idx="8">
                  <c:v>30</c:v>
                </c:pt>
                <c:pt idx="9">
                  <c:v>34</c:v>
                </c:pt>
                <c:pt idx="10">
                  <c:v>35</c:v>
                </c:pt>
                <c:pt idx="11">
                  <c:v>40</c:v>
                </c:pt>
                <c:pt idx="12">
                  <c:v>54</c:v>
                </c:pt>
              </c:strCache>
            </c:strRef>
          </c:cat>
          <c:val>
            <c:numRef>
              <c:f>Sheet4!$L$5:$L$18</c:f>
              <c:numCache>
                <c:formatCode>_ [$₹-4009]\ * #,##0.0_ ;_ [$₹-4009]\ * \-#,##0.0_ ;_ [$₹-4009]\ * "-"??_ ;_ @_ </c:formatCode>
                <c:ptCount val="13"/>
                <c:pt idx="0">
                  <c:v>1250</c:v>
                </c:pt>
                <c:pt idx="1">
                  <c:v>4000</c:v>
                </c:pt>
                <c:pt idx="2">
                  <c:v>75000</c:v>
                </c:pt>
                <c:pt idx="3">
                  <c:v>6400</c:v>
                </c:pt>
                <c:pt idx="4">
                  <c:v>6800</c:v>
                </c:pt>
                <c:pt idx="5">
                  <c:v>40000</c:v>
                </c:pt>
                <c:pt idx="6">
                  <c:v>9200</c:v>
                </c:pt>
                <c:pt idx="7">
                  <c:v>23750</c:v>
                </c:pt>
                <c:pt idx="8">
                  <c:v>28500</c:v>
                </c:pt>
                <c:pt idx="9">
                  <c:v>5100</c:v>
                </c:pt>
                <c:pt idx="10">
                  <c:v>14000</c:v>
                </c:pt>
                <c:pt idx="11">
                  <c:v>6000</c:v>
                </c:pt>
                <c:pt idx="12">
                  <c:v>8100</c:v>
                </c:pt>
              </c:numCache>
            </c:numRef>
          </c:val>
          <c:extLst>
            <c:ext xmlns:c16="http://schemas.microsoft.com/office/drawing/2014/chart" uri="{C3380CC4-5D6E-409C-BE32-E72D297353CC}">
              <c16:uniqueId val="{00000000-0E12-4185-9901-7CC5142B47F1}"/>
            </c:ext>
          </c:extLst>
        </c:ser>
        <c:ser>
          <c:idx val="1"/>
          <c:order val="1"/>
          <c:tx>
            <c:strRef>
              <c:f>Sheet4!$M$4</c:f>
              <c:strCache>
                <c:ptCount val="1"/>
                <c:pt idx="0">
                  <c:v>Sum of Profit Margin</c:v>
                </c:pt>
              </c:strCache>
            </c:strRef>
          </c:tx>
          <c:spPr>
            <a:solidFill>
              <a:schemeClr val="accent2"/>
            </a:solidFill>
            <a:ln>
              <a:noFill/>
            </a:ln>
            <a:effectLst/>
          </c:spPr>
          <c:invertIfNegative val="0"/>
          <c:cat>
            <c:strRef>
              <c:f>Sheet4!$K$5:$K$18</c:f>
              <c:strCache>
                <c:ptCount val="13"/>
                <c:pt idx="0">
                  <c:v>5</c:v>
                </c:pt>
                <c:pt idx="1">
                  <c:v>10</c:v>
                </c:pt>
                <c:pt idx="2">
                  <c:v>15</c:v>
                </c:pt>
                <c:pt idx="3">
                  <c:v>16</c:v>
                </c:pt>
                <c:pt idx="4">
                  <c:v>17</c:v>
                </c:pt>
                <c:pt idx="5">
                  <c:v>20</c:v>
                </c:pt>
                <c:pt idx="6">
                  <c:v>23</c:v>
                </c:pt>
                <c:pt idx="7">
                  <c:v>25</c:v>
                </c:pt>
                <c:pt idx="8">
                  <c:v>30</c:v>
                </c:pt>
                <c:pt idx="9">
                  <c:v>34</c:v>
                </c:pt>
                <c:pt idx="10">
                  <c:v>35</c:v>
                </c:pt>
                <c:pt idx="11">
                  <c:v>40</c:v>
                </c:pt>
                <c:pt idx="12">
                  <c:v>54</c:v>
                </c:pt>
              </c:strCache>
            </c:strRef>
          </c:cat>
          <c:val>
            <c:numRef>
              <c:f>Sheet4!$M$5:$M$18</c:f>
              <c:numCache>
                <c:formatCode>_ [$₹-4009]\ * #,##0.0_ ;_ [$₹-4009]\ * \-#,##0.0_ ;_ [$₹-4009]\ * "-"?_ ;_ @_ </c:formatCode>
                <c:ptCount val="13"/>
                <c:pt idx="0">
                  <c:v>600</c:v>
                </c:pt>
                <c:pt idx="1">
                  <c:v>1700</c:v>
                </c:pt>
                <c:pt idx="2">
                  <c:v>29700</c:v>
                </c:pt>
                <c:pt idx="3">
                  <c:v>2400</c:v>
                </c:pt>
                <c:pt idx="4">
                  <c:v>2550</c:v>
                </c:pt>
                <c:pt idx="5">
                  <c:v>15800</c:v>
                </c:pt>
                <c:pt idx="6">
                  <c:v>3910</c:v>
                </c:pt>
                <c:pt idx="7">
                  <c:v>8750</c:v>
                </c:pt>
                <c:pt idx="8">
                  <c:v>11100</c:v>
                </c:pt>
                <c:pt idx="9">
                  <c:v>1700</c:v>
                </c:pt>
                <c:pt idx="10">
                  <c:v>5250</c:v>
                </c:pt>
                <c:pt idx="11">
                  <c:v>2000</c:v>
                </c:pt>
                <c:pt idx="12">
                  <c:v>2700</c:v>
                </c:pt>
              </c:numCache>
            </c:numRef>
          </c:val>
          <c:extLst>
            <c:ext xmlns:c16="http://schemas.microsoft.com/office/drawing/2014/chart" uri="{C3380CC4-5D6E-409C-BE32-E72D297353CC}">
              <c16:uniqueId val="{00000001-0E12-4185-9901-7CC5142B47F1}"/>
            </c:ext>
          </c:extLst>
        </c:ser>
        <c:dLbls>
          <c:showLegendKey val="0"/>
          <c:showVal val="0"/>
          <c:showCatName val="0"/>
          <c:showSerName val="0"/>
          <c:showPercent val="0"/>
          <c:showBubbleSize val="0"/>
        </c:dLbls>
        <c:gapWidth val="150"/>
        <c:axId val="170622448"/>
        <c:axId val="170639248"/>
      </c:barChart>
      <c:catAx>
        <c:axId val="1706224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639248"/>
        <c:crosses val="autoZero"/>
        <c:auto val="1"/>
        <c:lblAlgn val="ctr"/>
        <c:lblOffset val="100"/>
        <c:noMultiLvlLbl val="0"/>
      </c:catAx>
      <c:valAx>
        <c:axId val="170639248"/>
        <c:scaling>
          <c:orientation val="minMax"/>
        </c:scaling>
        <c:delete val="0"/>
        <c:axPos val="l"/>
        <c:numFmt formatCode="_ [$₹-4009]\ * #,##0.0_ ;_ [$₹-4009]\ * \-#,##0.0_ ;_ [$₹-4009]\ * &quot;-&quot;??_ ;_ @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6224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6">
        <a:lumMod val="60000"/>
        <a:lumOff val="40000"/>
      </a:schemeClr>
    </a:solidFill>
    <a:ln w="9525" cap="flat" cmpd="sng" algn="ctr">
      <a:solidFill>
        <a:sysClr val="windowText" lastClr="000000"/>
      </a:solidFill>
      <a:round/>
    </a:ln>
    <a:effectLst>
      <a:glow rad="139700">
        <a:schemeClr val="accent6">
          <a:satMod val="175000"/>
          <a:alpha val="40000"/>
        </a:schemeClr>
      </a:glow>
    </a:effectLst>
    <a:scene3d>
      <a:camera prst="orthographicFront"/>
      <a:lightRig rig="threePt" dir="t"/>
    </a:scene3d>
    <a:sp3d prstMaterial="matte">
      <a:bevelT w="63500" h="63500" prst="artDeco"/>
      <a:contourClr>
        <a:srgbClr val="000000"/>
      </a:contourClr>
    </a:sp3d>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1">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3">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50000"/>
            <a:lumOff val="50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40" b="0" kern="1200" spc="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2</xdr:row>
      <xdr:rowOff>197468</xdr:rowOff>
    </xdr:from>
    <xdr:to>
      <xdr:col>6</xdr:col>
      <xdr:colOff>685800</xdr:colOff>
      <xdr:row>13</xdr:row>
      <xdr:rowOff>202868</xdr:rowOff>
    </xdr:to>
    <xdr:graphicFrame macro="">
      <xdr:nvGraphicFramePr>
        <xdr:cNvPr id="2" name="Chart 1">
          <a:extLst>
            <a:ext uri="{FF2B5EF4-FFF2-40B4-BE49-F238E27FC236}">
              <a16:creationId xmlns:a16="http://schemas.microsoft.com/office/drawing/2014/main" id="{8FA3DB68-5C78-4AA7-B457-07F3E20AD1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10026</xdr:colOff>
      <xdr:row>13</xdr:row>
      <xdr:rowOff>205272</xdr:rowOff>
    </xdr:from>
    <xdr:to>
      <xdr:col>5</xdr:col>
      <xdr:colOff>772026</xdr:colOff>
      <xdr:row>24</xdr:row>
      <xdr:rowOff>210671</xdr:rowOff>
    </xdr:to>
    <xdr:graphicFrame macro="">
      <xdr:nvGraphicFramePr>
        <xdr:cNvPr id="3" name="Size Sales">
          <a:extLst>
            <a:ext uri="{FF2B5EF4-FFF2-40B4-BE49-F238E27FC236}">
              <a16:creationId xmlns:a16="http://schemas.microsoft.com/office/drawing/2014/main" id="{51C751F0-2BEB-40B3-A3FB-B58D595B90D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90187</xdr:colOff>
      <xdr:row>14</xdr:row>
      <xdr:rowOff>2874</xdr:rowOff>
    </xdr:from>
    <xdr:to>
      <xdr:col>13</xdr:col>
      <xdr:colOff>38518</xdr:colOff>
      <xdr:row>26</xdr:row>
      <xdr:rowOff>2873</xdr:rowOff>
    </xdr:to>
    <xdr:graphicFrame macro="">
      <xdr:nvGraphicFramePr>
        <xdr:cNvPr id="5" name="Chart 4">
          <a:extLst>
            <a:ext uri="{FF2B5EF4-FFF2-40B4-BE49-F238E27FC236}">
              <a16:creationId xmlns:a16="http://schemas.microsoft.com/office/drawing/2014/main" id="{A0365F30-AD98-4B91-A1C3-CF3D4A4FF1C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18</xdr:col>
      <xdr:colOff>348414</xdr:colOff>
      <xdr:row>4</xdr:row>
      <xdr:rowOff>76869</xdr:rowOff>
    </xdr:from>
    <xdr:to>
      <xdr:col>20</xdr:col>
      <xdr:colOff>537243</xdr:colOff>
      <xdr:row>9</xdr:row>
      <xdr:rowOff>84170</xdr:rowOff>
    </xdr:to>
    <mc:AlternateContent xmlns:mc="http://schemas.openxmlformats.org/markup-compatibility/2006">
      <mc:Choice xmlns:a14="http://schemas.microsoft.com/office/drawing/2010/main" Requires="a14">
        <xdr:graphicFrame macro="">
          <xdr:nvGraphicFramePr>
            <xdr:cNvPr id="6" name="Product Name">
              <a:extLst>
                <a:ext uri="{FF2B5EF4-FFF2-40B4-BE49-F238E27FC236}">
                  <a16:creationId xmlns:a16="http://schemas.microsoft.com/office/drawing/2014/main" id="{86123DE7-99E9-C701-F7E6-5CA2E314B5B7}"/>
                </a:ext>
              </a:extLst>
            </xdr:cNvPr>
            <xdr:cNvGraphicFramePr/>
          </xdr:nvGraphicFramePr>
          <xdr:xfrm>
            <a:off x="0" y="0"/>
            <a:ext cx="0" cy="0"/>
          </xdr:xfrm>
          <a:graphic>
            <a:graphicData uri="http://schemas.microsoft.com/office/drawing/2010/slicer">
              <sle:slicer xmlns:sle="http://schemas.microsoft.com/office/drawing/2010/slicer" name="Product Name"/>
            </a:graphicData>
          </a:graphic>
        </xdr:graphicFrame>
      </mc:Choice>
      <mc:Fallback>
        <xdr:sp macro="" textlink="">
          <xdr:nvSpPr>
            <xdr:cNvPr id="0" name=""/>
            <xdr:cNvSpPr>
              <a:spLocks noTextEdit="1"/>
            </xdr:cNvSpPr>
          </xdr:nvSpPr>
          <xdr:spPr>
            <a:xfrm>
              <a:off x="14605835" y="1159711"/>
              <a:ext cx="1772987" cy="136085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714375</xdr:colOff>
      <xdr:row>2</xdr:row>
      <xdr:rowOff>203869</xdr:rowOff>
    </xdr:from>
    <xdr:to>
      <xdr:col>12</xdr:col>
      <xdr:colOff>775335</xdr:colOff>
      <xdr:row>13</xdr:row>
      <xdr:rowOff>250107</xdr:rowOff>
    </xdr:to>
    <xdr:graphicFrame macro="">
      <xdr:nvGraphicFramePr>
        <xdr:cNvPr id="8" name="Chart 7">
          <a:extLst>
            <a:ext uri="{FF2B5EF4-FFF2-40B4-BE49-F238E27FC236}">
              <a16:creationId xmlns:a16="http://schemas.microsoft.com/office/drawing/2014/main" id="{7D2B3D43-FF1F-47DA-83F2-693BA5B65DE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7887</xdr:colOff>
      <xdr:row>2</xdr:row>
      <xdr:rowOff>186808</xdr:rowOff>
    </xdr:from>
    <xdr:to>
      <xdr:col>18</xdr:col>
      <xdr:colOff>363816</xdr:colOff>
      <xdr:row>25</xdr:row>
      <xdr:rowOff>149009</xdr:rowOff>
    </xdr:to>
    <xdr:graphicFrame macro="">
      <xdr:nvGraphicFramePr>
        <xdr:cNvPr id="7" name="Chart 6">
          <a:extLst>
            <a:ext uri="{FF2B5EF4-FFF2-40B4-BE49-F238E27FC236}">
              <a16:creationId xmlns:a16="http://schemas.microsoft.com/office/drawing/2014/main" id="{7254E7F3-34CB-4095-A225-EC19511C7E4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30080</xdr:colOff>
      <xdr:row>0</xdr:row>
      <xdr:rowOff>31750</xdr:rowOff>
    </xdr:from>
    <xdr:to>
      <xdr:col>18</xdr:col>
      <xdr:colOff>411079</xdr:colOff>
      <xdr:row>2</xdr:row>
      <xdr:rowOff>160421</xdr:rowOff>
    </xdr:to>
    <xdr:sp macro="" textlink="">
      <xdr:nvSpPr>
        <xdr:cNvPr id="4" name="Rectangle: Rounded Corners 3">
          <a:extLst>
            <a:ext uri="{FF2B5EF4-FFF2-40B4-BE49-F238E27FC236}">
              <a16:creationId xmlns:a16="http://schemas.microsoft.com/office/drawing/2014/main" id="{50116BAA-0C6C-31B0-872A-3D1CCB545DCC}"/>
            </a:ext>
          </a:extLst>
        </xdr:cNvPr>
        <xdr:cNvSpPr/>
      </xdr:nvSpPr>
      <xdr:spPr>
        <a:xfrm>
          <a:off x="30080" y="31750"/>
          <a:ext cx="14638420" cy="670092"/>
        </a:xfrm>
        <a:prstGeom prst="roundRect">
          <a:avLst/>
        </a:prstGeom>
        <a:solidFill>
          <a:schemeClr val="accent4">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ctr"/>
          <a:endParaRPr lang="en-IN" sz="1600" b="1">
            <a:latin typeface="Times New Roman" panose="02020603050405020304" pitchFamily="18" charset="0"/>
            <a:cs typeface="Times New Roman" panose="02020603050405020304" pitchFamily="18" charset="0"/>
          </a:endParaRPr>
        </a:p>
        <a:p>
          <a:pPr algn="ctr"/>
          <a:r>
            <a:rPr lang="en-IN" sz="1600" b="1">
              <a:latin typeface="Times New Roman" panose="02020603050405020304" pitchFamily="18" charset="0"/>
              <a:cs typeface="Times New Roman" panose="02020603050405020304" pitchFamily="18" charset="0"/>
            </a:rPr>
            <a:t>SALES</a:t>
          </a:r>
          <a:r>
            <a:rPr lang="en-IN" sz="1600" b="1" baseline="0">
              <a:latin typeface="Times New Roman" panose="02020603050405020304" pitchFamily="18" charset="0"/>
              <a:cs typeface="Times New Roman" panose="02020603050405020304" pitchFamily="18" charset="0"/>
            </a:rPr>
            <a:t> AND PROFIT ANALYSIS DATA SET</a:t>
          </a:r>
          <a:endParaRPr lang="en-IN" sz="1600" b="1">
            <a:latin typeface="Times New Roman" panose="02020603050405020304" pitchFamily="18" charset="0"/>
            <a:cs typeface="Times New Roman" panose="02020603050405020304" pitchFamily="18" charset="0"/>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45720</xdr:colOff>
          <xdr:row>0</xdr:row>
          <xdr:rowOff>38100</xdr:rowOff>
        </xdr:from>
        <xdr:to>
          <xdr:col>0</xdr:col>
          <xdr:colOff>426720</xdr:colOff>
          <xdr:row>1</xdr:row>
          <xdr:rowOff>236220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400" b="0" i="0" u="none" strike="noStrike" baseline="0">
                  <a:solidFill>
                    <a:srgbClr val="000000"/>
                  </a:solidFill>
                  <a:latin typeface="Calibri"/>
                  <a:ea typeface="Calibri"/>
                  <a:cs typeface="Calibri"/>
                </a:rPr>
                <a: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144780</xdr:colOff>
          <xdr:row>2</xdr:row>
          <xdr:rowOff>213360</xdr:rowOff>
        </xdr:from>
        <xdr:to>
          <xdr:col>0</xdr:col>
          <xdr:colOff>464820</xdr:colOff>
          <xdr:row>4</xdr:row>
          <xdr:rowOff>213360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300-000003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endParaRPr lang="en-IN" sz="1400" b="0" i="0" u="none" strike="noStrike" baseline="0">
                <a:solidFill>
                  <a:srgbClr val="000000"/>
                </a:solidFill>
                <a:latin typeface="Calibri"/>
                <a:ea typeface="Calibri"/>
                <a:cs typeface="Calibri"/>
              </a:endParaRPr>
            </a:p>
            <a:p>
              <a:pPr algn="ctr" rtl="0">
                <a:defRPr sz="1000"/>
              </a:pPr>
              <a:r>
                <a:rPr lang="en-IN" sz="1400" b="0" i="0" u="none" strike="noStrike" baseline="0">
                  <a:solidFill>
                    <a:srgbClr val="000000"/>
                  </a:solidFill>
                  <a:latin typeface="Calibri"/>
                  <a:ea typeface="Calibri"/>
                  <a:cs typeface="Calibri"/>
                </a:rPr>
                <a:t>C</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hubham" refreshedDate="45903.645075810186" createdVersion="8" refreshedVersion="8" minRefreshableVersion="3" recordCount="39" xr:uid="{3B406D5C-3031-45A5-A229-943CF660F0C1}">
  <cacheSource type="worksheet">
    <worksheetSource ref="B3:O42" sheet="Sheet1"/>
  </cacheSource>
  <cacheFields count="14">
    <cacheField name="ID" numFmtId="0">
      <sharedItems count="39">
        <s v="ID -101"/>
        <s v="ID -102"/>
        <s v="ID -103"/>
        <s v="ID -104"/>
        <s v="ID -105"/>
        <s v="ID -106"/>
        <s v="ID -107"/>
        <s v="ID -108"/>
        <s v="ID -109"/>
        <s v="ID -110"/>
        <s v="ID -111"/>
        <s v="ID -112"/>
        <s v="ID -113"/>
        <s v="ID -114"/>
        <s v="ID -115"/>
        <s v="ID -116"/>
        <s v="ID -117"/>
        <s v="ID -118"/>
        <s v="ID -119"/>
        <s v="ID -120"/>
        <s v="ID -121"/>
        <s v="ID -122"/>
        <s v="ID -123"/>
        <s v="ID -124"/>
        <s v="ID -125"/>
        <s v="ID -126"/>
        <s v="ID -127"/>
        <s v="ID -128"/>
        <s v="ID -129"/>
        <s v="ID -130"/>
        <s v="ID -131"/>
        <s v="ID -132"/>
        <s v="ID -133"/>
        <s v="ID -134"/>
        <s v="ID -135"/>
        <s v="ID -136"/>
        <s v="ID -137"/>
        <s v="ID -138"/>
        <s v="ID -139"/>
      </sharedItems>
    </cacheField>
    <cacheField name="Product Name" numFmtId="0">
      <sharedItems count="3">
        <s v="T Shirt(M)"/>
        <s v="T Shirt(L)"/>
        <s v="T Shirt (XL)"/>
      </sharedItems>
    </cacheField>
    <cacheField name="Size in Inch" numFmtId="0">
      <sharedItems containsSemiMixedTypes="0" containsString="0" containsNumber="1" containsInteger="1" minValue="32" maxValue="42"/>
    </cacheField>
    <cacheField name="Seller Name" numFmtId="0">
      <sharedItems count="30">
        <s v="Ram Traders"/>
        <s v="Rajesh "/>
        <s v="Shivam"/>
        <s v="Sethi"/>
        <s v="Rahul"/>
        <s v="Aman"/>
        <s v="Sohan"/>
        <s v="Chandu"/>
        <s v="Rohan"/>
        <s v="Sonu"/>
        <s v="Sweety"/>
        <s v="Deepak"/>
        <s v="Ravi"/>
        <s v="Shyamu"/>
        <s v="Kapil"/>
        <s v="Panuli"/>
        <s v="Neeraj"/>
        <s v="Pankaj"/>
        <s v="Dheeraj"/>
        <s v="Prakash.N"/>
        <s v="Anju.S"/>
        <s v="Preetam.S"/>
        <s v="Kulwant.S"/>
        <s v="Pradeep.K"/>
        <s v="Vineet.G"/>
        <s v="Ram T"/>
        <s v="Tota Ram"/>
        <s v="Kalyan.S"/>
        <s v="Raghuvir.S"/>
        <s v="V.R.Sharma"/>
      </sharedItems>
    </cacheField>
    <cacheField name="Manf.Cost" numFmtId="164">
      <sharedItems containsSemiMixedTypes="0" containsString="0" containsNumber="1" containsInteger="1" minValue="80" maxValue="200"/>
    </cacheField>
    <cacheField name="Tailor.Cost" numFmtId="164">
      <sharedItems containsSemiMixedTypes="0" containsString="0" containsNumber="1" containsInteger="1" minValue="20" maxValue="50"/>
    </cacheField>
    <cacheField name="C.P.per Unit" numFmtId="164">
      <sharedItems containsSemiMixedTypes="0" containsString="0" containsNumber="1" containsInteger="1" minValue="100" maxValue="250"/>
    </cacheField>
    <cacheField name="Qty Sold" numFmtId="0">
      <sharedItems containsSemiMixedTypes="0" containsString="0" containsNumber="1" containsInteger="1" minValue="5" maxValue="54" count="13">
        <n v="23"/>
        <n v="20"/>
        <n v="30"/>
        <n v="40"/>
        <n v="34"/>
        <n v="54"/>
        <n v="10"/>
        <n v="25"/>
        <n v="5"/>
        <n v="15"/>
        <n v="35"/>
        <n v="16"/>
        <n v="17"/>
      </sharedItems>
    </cacheField>
    <cacheField name="S.P.Per Unit" numFmtId="164">
      <sharedItems containsSemiMixedTypes="0" containsString="0" containsNumber="1" containsInteger="1" minValue="150" maxValue="400"/>
    </cacheField>
    <cacheField name="Total S.Price" numFmtId="164">
      <sharedItems containsSemiMixedTypes="0" containsString="0" containsNumber="1" containsInteger="1" minValue="1250" maxValue="14000"/>
    </cacheField>
    <cacheField name="Total C.Price" numFmtId="165">
      <sharedItems containsSemiMixedTypes="0" containsString="0" containsNumber="1" containsInteger="1" minValue="650" maxValue="8750"/>
    </cacheField>
    <cacheField name="Profit Margin" numFmtId="165">
      <sharedItems containsSemiMixedTypes="0" containsString="0" containsNumber="1" containsInteger="1" minValue="500" maxValue="5250"/>
    </cacheField>
    <cacheField name="SUMIFS" numFmtId="0">
      <sharedItems containsSemiMixedTypes="0" containsString="0" containsNumber="1" containsInteger="1" minValue="6750" maxValue="88160"/>
    </cacheField>
    <cacheField name="VLOOKUP" numFmtId="0">
      <sharedItems containsSemiMixedTypes="0" containsString="0" containsNumber="1" containsInteger="1" minValue="500" maxValue="5250"/>
    </cacheField>
  </cacheFields>
  <extLst>
    <ext xmlns:x14="http://schemas.microsoft.com/office/spreadsheetml/2009/9/main" uri="{725AE2AE-9491-48be-B2B4-4EB974FC3084}">
      <x14:pivotCacheDefinition pivotCacheId="59081370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9">
  <r>
    <x v="0"/>
    <x v="0"/>
    <n v="32"/>
    <x v="0"/>
    <n v="80"/>
    <n v="20"/>
    <n v="100"/>
    <x v="0"/>
    <n v="150"/>
    <n v="3450"/>
    <n v="2300"/>
    <n v="1150"/>
    <n v="88160"/>
    <n v="1150"/>
  </r>
  <r>
    <x v="1"/>
    <x v="0"/>
    <n v="32"/>
    <x v="1"/>
    <n v="80"/>
    <n v="20"/>
    <n v="100"/>
    <x v="1"/>
    <n v="150"/>
    <n v="3000"/>
    <n v="2000"/>
    <n v="1000"/>
    <n v="87010"/>
    <n v="1000"/>
  </r>
  <r>
    <x v="2"/>
    <x v="0"/>
    <n v="32"/>
    <x v="2"/>
    <n v="80"/>
    <n v="20"/>
    <n v="100"/>
    <x v="2"/>
    <n v="150"/>
    <n v="4500"/>
    <n v="3000"/>
    <n v="1500"/>
    <n v="86010"/>
    <n v="1500"/>
  </r>
  <r>
    <x v="3"/>
    <x v="0"/>
    <n v="32"/>
    <x v="3"/>
    <n v="80"/>
    <n v="20"/>
    <n v="100"/>
    <x v="3"/>
    <n v="150"/>
    <n v="6000"/>
    <n v="4000"/>
    <n v="2000"/>
    <n v="84510"/>
    <n v="2000"/>
  </r>
  <r>
    <x v="4"/>
    <x v="0"/>
    <n v="32"/>
    <x v="4"/>
    <n v="80"/>
    <n v="20"/>
    <n v="100"/>
    <x v="4"/>
    <n v="150"/>
    <n v="5100"/>
    <n v="3400"/>
    <n v="1700"/>
    <n v="82510"/>
    <n v="1700"/>
  </r>
  <r>
    <x v="5"/>
    <x v="0"/>
    <n v="32"/>
    <x v="5"/>
    <n v="80"/>
    <n v="20"/>
    <n v="100"/>
    <x v="5"/>
    <n v="150"/>
    <n v="8100"/>
    <n v="5400"/>
    <n v="2700"/>
    <n v="80810"/>
    <n v="2700"/>
  </r>
  <r>
    <x v="6"/>
    <x v="0"/>
    <n v="32"/>
    <x v="6"/>
    <n v="80"/>
    <n v="20"/>
    <n v="100"/>
    <x v="2"/>
    <n v="150"/>
    <n v="4500"/>
    <n v="3000"/>
    <n v="1500"/>
    <n v="78110"/>
    <n v="1500"/>
  </r>
  <r>
    <x v="7"/>
    <x v="0"/>
    <n v="32"/>
    <x v="7"/>
    <n v="80"/>
    <n v="20"/>
    <n v="100"/>
    <x v="6"/>
    <n v="150"/>
    <n v="1500"/>
    <n v="1000"/>
    <n v="500"/>
    <n v="80360"/>
    <n v="500"/>
  </r>
  <r>
    <x v="8"/>
    <x v="0"/>
    <n v="32"/>
    <x v="8"/>
    <n v="80"/>
    <n v="20"/>
    <n v="100"/>
    <x v="1"/>
    <n v="150"/>
    <n v="3000"/>
    <n v="2000"/>
    <n v="1000"/>
    <n v="79860"/>
    <n v="1000"/>
  </r>
  <r>
    <x v="9"/>
    <x v="0"/>
    <n v="32"/>
    <x v="9"/>
    <n v="80"/>
    <n v="20"/>
    <n v="100"/>
    <x v="7"/>
    <n v="150"/>
    <n v="3750"/>
    <n v="2500"/>
    <n v="1250"/>
    <n v="78860"/>
    <n v="1250"/>
  </r>
  <r>
    <x v="10"/>
    <x v="1"/>
    <n v="34"/>
    <x v="10"/>
    <n v="100"/>
    <n v="30"/>
    <n v="130"/>
    <x v="6"/>
    <n v="250"/>
    <n v="2500"/>
    <n v="1300"/>
    <n v="1200"/>
    <n v="77610"/>
    <n v="1200"/>
  </r>
  <r>
    <x v="11"/>
    <x v="1"/>
    <n v="34"/>
    <x v="11"/>
    <n v="100"/>
    <n v="30"/>
    <n v="130"/>
    <x v="8"/>
    <n v="250"/>
    <n v="1250"/>
    <n v="650"/>
    <n v="600"/>
    <n v="76410"/>
    <n v="600"/>
  </r>
  <r>
    <x v="12"/>
    <x v="1"/>
    <n v="34"/>
    <x v="12"/>
    <n v="100"/>
    <n v="30"/>
    <n v="130"/>
    <x v="9"/>
    <n v="250"/>
    <n v="3750"/>
    <n v="1950"/>
    <n v="1800"/>
    <n v="75810"/>
    <n v="1800"/>
  </r>
  <r>
    <x v="13"/>
    <x v="1"/>
    <n v="34"/>
    <x v="13"/>
    <n v="100"/>
    <n v="30"/>
    <n v="130"/>
    <x v="9"/>
    <n v="250"/>
    <n v="3750"/>
    <n v="1950"/>
    <n v="1800"/>
    <n v="74010"/>
    <n v="1800"/>
  </r>
  <r>
    <x v="14"/>
    <x v="1"/>
    <n v="34"/>
    <x v="14"/>
    <n v="100"/>
    <n v="30"/>
    <n v="130"/>
    <x v="9"/>
    <n v="250"/>
    <n v="3750"/>
    <n v="1950"/>
    <n v="1800"/>
    <n v="72210"/>
    <n v="1800"/>
  </r>
  <r>
    <x v="15"/>
    <x v="1"/>
    <n v="34"/>
    <x v="4"/>
    <n v="100"/>
    <n v="30"/>
    <n v="130"/>
    <x v="1"/>
    <n v="250"/>
    <n v="5000"/>
    <n v="2600"/>
    <n v="2400"/>
    <n v="70410"/>
    <n v="2400"/>
  </r>
  <r>
    <x v="16"/>
    <x v="1"/>
    <n v="34"/>
    <x v="15"/>
    <n v="100"/>
    <n v="30"/>
    <n v="130"/>
    <x v="2"/>
    <n v="250"/>
    <n v="7500"/>
    <n v="3900"/>
    <n v="3600"/>
    <n v="68010"/>
    <n v="3600"/>
  </r>
  <r>
    <x v="17"/>
    <x v="1"/>
    <n v="34"/>
    <x v="16"/>
    <n v="100"/>
    <n v="30"/>
    <n v="130"/>
    <x v="9"/>
    <n v="250"/>
    <n v="3750"/>
    <n v="1950"/>
    <n v="1800"/>
    <n v="64410"/>
    <n v="1800"/>
  </r>
  <r>
    <x v="18"/>
    <x v="1"/>
    <n v="34"/>
    <x v="17"/>
    <n v="100"/>
    <n v="30"/>
    <n v="130"/>
    <x v="1"/>
    <n v="250"/>
    <n v="5000"/>
    <n v="2600"/>
    <n v="2400"/>
    <n v="62610"/>
    <n v="2400"/>
  </r>
  <r>
    <x v="19"/>
    <x v="1"/>
    <n v="34"/>
    <x v="18"/>
    <n v="100"/>
    <n v="30"/>
    <n v="130"/>
    <x v="0"/>
    <n v="250"/>
    <n v="5750"/>
    <n v="2990"/>
    <n v="2760"/>
    <n v="60210"/>
    <n v="2760"/>
  </r>
  <r>
    <x v="20"/>
    <x v="2"/>
    <n v="42"/>
    <x v="19"/>
    <n v="200"/>
    <n v="50"/>
    <n v="250"/>
    <x v="9"/>
    <n v="400"/>
    <n v="6000"/>
    <n v="3750"/>
    <n v="2250"/>
    <n v="57450"/>
    <n v="2250"/>
  </r>
  <r>
    <x v="21"/>
    <x v="2"/>
    <n v="42"/>
    <x v="20"/>
    <n v="200"/>
    <n v="50"/>
    <n v="250"/>
    <x v="9"/>
    <n v="400"/>
    <n v="6000"/>
    <n v="3750"/>
    <n v="2250"/>
    <n v="55200"/>
    <n v="2250"/>
  </r>
  <r>
    <x v="22"/>
    <x v="2"/>
    <n v="42"/>
    <x v="21"/>
    <n v="200"/>
    <n v="50"/>
    <n v="250"/>
    <x v="1"/>
    <n v="400"/>
    <n v="8000"/>
    <n v="5000"/>
    <n v="3000"/>
    <n v="52950"/>
    <n v="3000"/>
  </r>
  <r>
    <x v="23"/>
    <x v="2"/>
    <n v="42"/>
    <x v="22"/>
    <n v="200"/>
    <n v="50"/>
    <n v="250"/>
    <x v="7"/>
    <n v="400"/>
    <n v="10000"/>
    <n v="6250"/>
    <n v="3750"/>
    <n v="49950"/>
    <n v="3750"/>
  </r>
  <r>
    <x v="24"/>
    <x v="2"/>
    <n v="42"/>
    <x v="23"/>
    <n v="200"/>
    <n v="50"/>
    <n v="250"/>
    <x v="2"/>
    <n v="400"/>
    <n v="12000"/>
    <n v="7500"/>
    <n v="4500"/>
    <n v="46200"/>
    <n v="4500"/>
  </r>
  <r>
    <x v="25"/>
    <x v="2"/>
    <n v="42"/>
    <x v="24"/>
    <n v="200"/>
    <n v="50"/>
    <n v="250"/>
    <x v="10"/>
    <n v="400"/>
    <n v="14000"/>
    <n v="8750"/>
    <n v="5250"/>
    <n v="41700"/>
    <n v="5250"/>
  </r>
  <r>
    <x v="26"/>
    <x v="2"/>
    <n v="42"/>
    <x v="25"/>
    <n v="200"/>
    <n v="50"/>
    <n v="250"/>
    <x v="11"/>
    <n v="400"/>
    <n v="6400"/>
    <n v="4000"/>
    <n v="2400"/>
    <n v="36450"/>
    <n v="2400"/>
  </r>
  <r>
    <x v="27"/>
    <x v="2"/>
    <n v="42"/>
    <x v="1"/>
    <n v="200"/>
    <n v="50"/>
    <n v="250"/>
    <x v="12"/>
    <n v="400"/>
    <n v="6800"/>
    <n v="4250"/>
    <n v="2550"/>
    <n v="34050"/>
    <n v="2550"/>
  </r>
  <r>
    <x v="28"/>
    <x v="2"/>
    <n v="42"/>
    <x v="2"/>
    <n v="200"/>
    <n v="50"/>
    <n v="250"/>
    <x v="1"/>
    <n v="400"/>
    <n v="8000"/>
    <n v="5000"/>
    <n v="3000"/>
    <n v="31500"/>
    <n v="3000"/>
  </r>
  <r>
    <x v="29"/>
    <x v="2"/>
    <n v="42"/>
    <x v="3"/>
    <n v="200"/>
    <n v="50"/>
    <n v="250"/>
    <x v="7"/>
    <n v="400"/>
    <n v="10000"/>
    <n v="6250"/>
    <n v="3750"/>
    <n v="28500"/>
    <n v="3750"/>
  </r>
  <r>
    <x v="30"/>
    <x v="2"/>
    <n v="42"/>
    <x v="4"/>
    <n v="200"/>
    <n v="50"/>
    <n v="250"/>
    <x v="9"/>
    <n v="400"/>
    <n v="6000"/>
    <n v="3750"/>
    <n v="2250"/>
    <n v="24750"/>
    <n v="2250"/>
  </r>
  <r>
    <x v="31"/>
    <x v="2"/>
    <n v="42"/>
    <x v="5"/>
    <n v="200"/>
    <n v="50"/>
    <n v="250"/>
    <x v="9"/>
    <n v="400"/>
    <n v="6000"/>
    <n v="3750"/>
    <n v="2250"/>
    <n v="22500"/>
    <n v="2250"/>
  </r>
  <r>
    <x v="32"/>
    <x v="2"/>
    <n v="42"/>
    <x v="6"/>
    <n v="200"/>
    <n v="50"/>
    <n v="250"/>
    <x v="9"/>
    <n v="400"/>
    <n v="6000"/>
    <n v="3750"/>
    <n v="2250"/>
    <n v="20250"/>
    <n v="2250"/>
  </r>
  <r>
    <x v="33"/>
    <x v="2"/>
    <n v="42"/>
    <x v="7"/>
    <n v="200"/>
    <n v="50"/>
    <n v="250"/>
    <x v="9"/>
    <n v="400"/>
    <n v="6000"/>
    <n v="3750"/>
    <n v="2250"/>
    <n v="18000"/>
    <n v="2250"/>
  </r>
  <r>
    <x v="34"/>
    <x v="2"/>
    <n v="42"/>
    <x v="8"/>
    <n v="200"/>
    <n v="50"/>
    <n v="250"/>
    <x v="9"/>
    <n v="400"/>
    <n v="6000"/>
    <n v="3750"/>
    <n v="2250"/>
    <n v="15750"/>
    <n v="2250"/>
  </r>
  <r>
    <x v="35"/>
    <x v="2"/>
    <n v="42"/>
    <x v="26"/>
    <n v="200"/>
    <n v="50"/>
    <n v="250"/>
    <x v="9"/>
    <n v="400"/>
    <n v="6000"/>
    <n v="3750"/>
    <n v="2250"/>
    <n v="13500"/>
    <n v="2250"/>
  </r>
  <r>
    <x v="36"/>
    <x v="2"/>
    <n v="42"/>
    <x v="27"/>
    <n v="200"/>
    <n v="50"/>
    <n v="250"/>
    <x v="9"/>
    <n v="400"/>
    <n v="6000"/>
    <n v="3750"/>
    <n v="2250"/>
    <n v="11250"/>
    <n v="2250"/>
  </r>
  <r>
    <x v="37"/>
    <x v="2"/>
    <n v="42"/>
    <x v="28"/>
    <n v="200"/>
    <n v="50"/>
    <n v="250"/>
    <x v="9"/>
    <n v="400"/>
    <n v="6000"/>
    <n v="3750"/>
    <n v="2250"/>
    <n v="9000"/>
    <n v="2250"/>
  </r>
  <r>
    <x v="38"/>
    <x v="2"/>
    <n v="42"/>
    <x v="29"/>
    <n v="200"/>
    <n v="50"/>
    <n v="250"/>
    <x v="1"/>
    <n v="400"/>
    <n v="8000"/>
    <n v="5000"/>
    <n v="3000"/>
    <n v="6750"/>
    <n v="3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9EE5EF9-1FD8-47E6-85F6-3477E6794D3F}" name="Seller Name "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6">
  <location ref="A10:C41" firstHeaderRow="0" firstDataRow="1" firstDataCol="1"/>
  <pivotFields count="14">
    <pivotField showAll="0"/>
    <pivotField showAll="0">
      <items count="4">
        <item x="2"/>
        <item x="1"/>
        <item x="0"/>
        <item t="default"/>
      </items>
    </pivotField>
    <pivotField showAll="0"/>
    <pivotField axis="axisRow" showAll="0">
      <items count="31">
        <item x="5"/>
        <item x="20"/>
        <item x="7"/>
        <item x="11"/>
        <item x="18"/>
        <item x="27"/>
        <item x="14"/>
        <item x="22"/>
        <item x="16"/>
        <item x="17"/>
        <item x="15"/>
        <item x="23"/>
        <item x="19"/>
        <item x="21"/>
        <item x="28"/>
        <item x="4"/>
        <item x="1"/>
        <item x="25"/>
        <item x="0"/>
        <item x="12"/>
        <item x="8"/>
        <item x="3"/>
        <item x="2"/>
        <item x="13"/>
        <item x="6"/>
        <item x="9"/>
        <item x="10"/>
        <item x="26"/>
        <item x="29"/>
        <item x="24"/>
        <item t="default"/>
      </items>
    </pivotField>
    <pivotField numFmtId="164" showAll="0"/>
    <pivotField numFmtId="164" showAll="0"/>
    <pivotField numFmtId="164" showAll="0"/>
    <pivotField showAll="0"/>
    <pivotField numFmtId="164" showAll="0"/>
    <pivotField dataField="1" numFmtId="164" showAll="0"/>
    <pivotField numFmtId="165" showAll="0"/>
    <pivotField dataField="1" numFmtId="165" showAll="0"/>
    <pivotField showAll="0"/>
    <pivotField showAll="0"/>
  </pivotFields>
  <rowFields count="1">
    <field x="3"/>
  </rowFields>
  <rowItems count="3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t="grand">
      <x/>
    </i>
  </rowItems>
  <colFields count="1">
    <field x="-2"/>
  </colFields>
  <colItems count="2">
    <i>
      <x/>
    </i>
    <i i="1">
      <x v="1"/>
    </i>
  </colItems>
  <dataFields count="2">
    <dataField name="Sum of Total S.Price" fld="9" baseField="0" baseItem="0" numFmtId="164"/>
    <dataField name="Sum of Profit Margin" fld="11" baseField="0" baseItem="0" numFmtId="165"/>
  </dataFields>
  <chartFormats count="64">
    <chartFormat chart="38" format="0" series="1">
      <pivotArea type="data" outline="0" fieldPosition="0">
        <references count="1">
          <reference field="4294967294" count="1" selected="0">
            <x v="0"/>
          </reference>
        </references>
      </pivotArea>
    </chartFormat>
    <chartFormat chart="38" format="1" series="1">
      <pivotArea type="data" outline="0" fieldPosition="0">
        <references count="1">
          <reference field="4294967294" count="1" selected="0">
            <x v="1"/>
          </reference>
        </references>
      </pivotArea>
    </chartFormat>
    <chartFormat chart="43" format="64" series="1">
      <pivotArea type="data" outline="0" fieldPosition="0">
        <references count="1">
          <reference field="4294967294" count="1" selected="0">
            <x v="0"/>
          </reference>
        </references>
      </pivotArea>
    </chartFormat>
    <chartFormat chart="43" format="65">
      <pivotArea type="data" outline="0" fieldPosition="0">
        <references count="2">
          <reference field="4294967294" count="1" selected="0">
            <x v="0"/>
          </reference>
          <reference field="3" count="1" selected="0">
            <x v="0"/>
          </reference>
        </references>
      </pivotArea>
    </chartFormat>
    <chartFormat chart="43" format="66">
      <pivotArea type="data" outline="0" fieldPosition="0">
        <references count="2">
          <reference field="4294967294" count="1" selected="0">
            <x v="0"/>
          </reference>
          <reference field="3" count="1" selected="0">
            <x v="1"/>
          </reference>
        </references>
      </pivotArea>
    </chartFormat>
    <chartFormat chart="43" format="67">
      <pivotArea type="data" outline="0" fieldPosition="0">
        <references count="2">
          <reference field="4294967294" count="1" selected="0">
            <x v="0"/>
          </reference>
          <reference field="3" count="1" selected="0">
            <x v="2"/>
          </reference>
        </references>
      </pivotArea>
    </chartFormat>
    <chartFormat chart="43" format="68">
      <pivotArea type="data" outline="0" fieldPosition="0">
        <references count="2">
          <reference field="4294967294" count="1" selected="0">
            <x v="0"/>
          </reference>
          <reference field="3" count="1" selected="0">
            <x v="3"/>
          </reference>
        </references>
      </pivotArea>
    </chartFormat>
    <chartFormat chart="43" format="69">
      <pivotArea type="data" outline="0" fieldPosition="0">
        <references count="2">
          <reference field="4294967294" count="1" selected="0">
            <x v="0"/>
          </reference>
          <reference field="3" count="1" selected="0">
            <x v="4"/>
          </reference>
        </references>
      </pivotArea>
    </chartFormat>
    <chartFormat chart="43" format="70">
      <pivotArea type="data" outline="0" fieldPosition="0">
        <references count="2">
          <reference field="4294967294" count="1" selected="0">
            <x v="0"/>
          </reference>
          <reference field="3" count="1" selected="0">
            <x v="5"/>
          </reference>
        </references>
      </pivotArea>
    </chartFormat>
    <chartFormat chart="43" format="71">
      <pivotArea type="data" outline="0" fieldPosition="0">
        <references count="2">
          <reference field="4294967294" count="1" selected="0">
            <x v="0"/>
          </reference>
          <reference field="3" count="1" selected="0">
            <x v="6"/>
          </reference>
        </references>
      </pivotArea>
    </chartFormat>
    <chartFormat chart="43" format="72">
      <pivotArea type="data" outline="0" fieldPosition="0">
        <references count="2">
          <reference field="4294967294" count="1" selected="0">
            <x v="0"/>
          </reference>
          <reference field="3" count="1" selected="0">
            <x v="7"/>
          </reference>
        </references>
      </pivotArea>
    </chartFormat>
    <chartFormat chart="43" format="73">
      <pivotArea type="data" outline="0" fieldPosition="0">
        <references count="2">
          <reference field="4294967294" count="1" selected="0">
            <x v="0"/>
          </reference>
          <reference field="3" count="1" selected="0">
            <x v="8"/>
          </reference>
        </references>
      </pivotArea>
    </chartFormat>
    <chartFormat chart="43" format="74">
      <pivotArea type="data" outline="0" fieldPosition="0">
        <references count="2">
          <reference field="4294967294" count="1" selected="0">
            <x v="0"/>
          </reference>
          <reference field="3" count="1" selected="0">
            <x v="9"/>
          </reference>
        </references>
      </pivotArea>
    </chartFormat>
    <chartFormat chart="43" format="75">
      <pivotArea type="data" outline="0" fieldPosition="0">
        <references count="2">
          <reference field="4294967294" count="1" selected="0">
            <x v="0"/>
          </reference>
          <reference field="3" count="1" selected="0">
            <x v="10"/>
          </reference>
        </references>
      </pivotArea>
    </chartFormat>
    <chartFormat chart="43" format="76">
      <pivotArea type="data" outline="0" fieldPosition="0">
        <references count="2">
          <reference field="4294967294" count="1" selected="0">
            <x v="0"/>
          </reference>
          <reference field="3" count="1" selected="0">
            <x v="11"/>
          </reference>
        </references>
      </pivotArea>
    </chartFormat>
    <chartFormat chart="43" format="77">
      <pivotArea type="data" outline="0" fieldPosition="0">
        <references count="2">
          <reference field="4294967294" count="1" selected="0">
            <x v="0"/>
          </reference>
          <reference field="3" count="1" selected="0">
            <x v="12"/>
          </reference>
        </references>
      </pivotArea>
    </chartFormat>
    <chartFormat chart="43" format="78">
      <pivotArea type="data" outline="0" fieldPosition="0">
        <references count="2">
          <reference field="4294967294" count="1" selected="0">
            <x v="0"/>
          </reference>
          <reference field="3" count="1" selected="0">
            <x v="13"/>
          </reference>
        </references>
      </pivotArea>
    </chartFormat>
    <chartFormat chart="43" format="79">
      <pivotArea type="data" outline="0" fieldPosition="0">
        <references count="2">
          <reference field="4294967294" count="1" selected="0">
            <x v="0"/>
          </reference>
          <reference field="3" count="1" selected="0">
            <x v="14"/>
          </reference>
        </references>
      </pivotArea>
    </chartFormat>
    <chartFormat chart="43" format="80">
      <pivotArea type="data" outline="0" fieldPosition="0">
        <references count="2">
          <reference field="4294967294" count="1" selected="0">
            <x v="0"/>
          </reference>
          <reference field="3" count="1" selected="0">
            <x v="15"/>
          </reference>
        </references>
      </pivotArea>
    </chartFormat>
    <chartFormat chart="43" format="81">
      <pivotArea type="data" outline="0" fieldPosition="0">
        <references count="2">
          <reference field="4294967294" count="1" selected="0">
            <x v="0"/>
          </reference>
          <reference field="3" count="1" selected="0">
            <x v="16"/>
          </reference>
        </references>
      </pivotArea>
    </chartFormat>
    <chartFormat chart="43" format="82">
      <pivotArea type="data" outline="0" fieldPosition="0">
        <references count="2">
          <reference field="4294967294" count="1" selected="0">
            <x v="0"/>
          </reference>
          <reference field="3" count="1" selected="0">
            <x v="17"/>
          </reference>
        </references>
      </pivotArea>
    </chartFormat>
    <chartFormat chart="43" format="83">
      <pivotArea type="data" outline="0" fieldPosition="0">
        <references count="2">
          <reference field="4294967294" count="1" selected="0">
            <x v="0"/>
          </reference>
          <reference field="3" count="1" selected="0">
            <x v="18"/>
          </reference>
        </references>
      </pivotArea>
    </chartFormat>
    <chartFormat chart="43" format="84">
      <pivotArea type="data" outline="0" fieldPosition="0">
        <references count="2">
          <reference field="4294967294" count="1" selected="0">
            <x v="0"/>
          </reference>
          <reference field="3" count="1" selected="0">
            <x v="19"/>
          </reference>
        </references>
      </pivotArea>
    </chartFormat>
    <chartFormat chart="43" format="85">
      <pivotArea type="data" outline="0" fieldPosition="0">
        <references count="2">
          <reference field="4294967294" count="1" selected="0">
            <x v="0"/>
          </reference>
          <reference field="3" count="1" selected="0">
            <x v="20"/>
          </reference>
        </references>
      </pivotArea>
    </chartFormat>
    <chartFormat chart="43" format="86">
      <pivotArea type="data" outline="0" fieldPosition="0">
        <references count="2">
          <reference field="4294967294" count="1" selected="0">
            <x v="0"/>
          </reference>
          <reference field="3" count="1" selected="0">
            <x v="21"/>
          </reference>
        </references>
      </pivotArea>
    </chartFormat>
    <chartFormat chart="43" format="87">
      <pivotArea type="data" outline="0" fieldPosition="0">
        <references count="2">
          <reference field="4294967294" count="1" selected="0">
            <x v="0"/>
          </reference>
          <reference field="3" count="1" selected="0">
            <x v="22"/>
          </reference>
        </references>
      </pivotArea>
    </chartFormat>
    <chartFormat chart="43" format="88">
      <pivotArea type="data" outline="0" fieldPosition="0">
        <references count="2">
          <reference field="4294967294" count="1" selected="0">
            <x v="0"/>
          </reference>
          <reference field="3" count="1" selected="0">
            <x v="23"/>
          </reference>
        </references>
      </pivotArea>
    </chartFormat>
    <chartFormat chart="43" format="89">
      <pivotArea type="data" outline="0" fieldPosition="0">
        <references count="2">
          <reference field="4294967294" count="1" selected="0">
            <x v="0"/>
          </reference>
          <reference field="3" count="1" selected="0">
            <x v="24"/>
          </reference>
        </references>
      </pivotArea>
    </chartFormat>
    <chartFormat chart="43" format="90">
      <pivotArea type="data" outline="0" fieldPosition="0">
        <references count="2">
          <reference field="4294967294" count="1" selected="0">
            <x v="0"/>
          </reference>
          <reference field="3" count="1" selected="0">
            <x v="25"/>
          </reference>
        </references>
      </pivotArea>
    </chartFormat>
    <chartFormat chart="43" format="91">
      <pivotArea type="data" outline="0" fieldPosition="0">
        <references count="2">
          <reference field="4294967294" count="1" selected="0">
            <x v="0"/>
          </reference>
          <reference field="3" count="1" selected="0">
            <x v="26"/>
          </reference>
        </references>
      </pivotArea>
    </chartFormat>
    <chartFormat chart="43" format="92">
      <pivotArea type="data" outline="0" fieldPosition="0">
        <references count="2">
          <reference field="4294967294" count="1" selected="0">
            <x v="0"/>
          </reference>
          <reference field="3" count="1" selected="0">
            <x v="27"/>
          </reference>
        </references>
      </pivotArea>
    </chartFormat>
    <chartFormat chart="43" format="93">
      <pivotArea type="data" outline="0" fieldPosition="0">
        <references count="2">
          <reference field="4294967294" count="1" selected="0">
            <x v="0"/>
          </reference>
          <reference field="3" count="1" selected="0">
            <x v="28"/>
          </reference>
        </references>
      </pivotArea>
    </chartFormat>
    <chartFormat chart="43" format="94">
      <pivotArea type="data" outline="0" fieldPosition="0">
        <references count="2">
          <reference field="4294967294" count="1" selected="0">
            <x v="0"/>
          </reference>
          <reference field="3" count="1" selected="0">
            <x v="29"/>
          </reference>
        </references>
      </pivotArea>
    </chartFormat>
    <chartFormat chart="43" format="95" series="1">
      <pivotArea type="data" outline="0" fieldPosition="0">
        <references count="1">
          <reference field="4294967294" count="1" selected="0">
            <x v="1"/>
          </reference>
        </references>
      </pivotArea>
    </chartFormat>
    <chartFormat chart="43" format="96">
      <pivotArea type="data" outline="0" fieldPosition="0">
        <references count="2">
          <reference field="4294967294" count="1" selected="0">
            <x v="1"/>
          </reference>
          <reference field="3" count="1" selected="0">
            <x v="0"/>
          </reference>
        </references>
      </pivotArea>
    </chartFormat>
    <chartFormat chart="43" format="97">
      <pivotArea type="data" outline="0" fieldPosition="0">
        <references count="2">
          <reference field="4294967294" count="1" selected="0">
            <x v="1"/>
          </reference>
          <reference field="3" count="1" selected="0">
            <x v="1"/>
          </reference>
        </references>
      </pivotArea>
    </chartFormat>
    <chartFormat chart="43" format="98">
      <pivotArea type="data" outline="0" fieldPosition="0">
        <references count="2">
          <reference field="4294967294" count="1" selected="0">
            <x v="1"/>
          </reference>
          <reference field="3" count="1" selected="0">
            <x v="2"/>
          </reference>
        </references>
      </pivotArea>
    </chartFormat>
    <chartFormat chart="43" format="99">
      <pivotArea type="data" outline="0" fieldPosition="0">
        <references count="2">
          <reference field="4294967294" count="1" selected="0">
            <x v="1"/>
          </reference>
          <reference field="3" count="1" selected="0">
            <x v="3"/>
          </reference>
        </references>
      </pivotArea>
    </chartFormat>
    <chartFormat chart="43" format="100">
      <pivotArea type="data" outline="0" fieldPosition="0">
        <references count="2">
          <reference field="4294967294" count="1" selected="0">
            <x v="1"/>
          </reference>
          <reference field="3" count="1" selected="0">
            <x v="4"/>
          </reference>
        </references>
      </pivotArea>
    </chartFormat>
    <chartFormat chart="43" format="101">
      <pivotArea type="data" outline="0" fieldPosition="0">
        <references count="2">
          <reference field="4294967294" count="1" selected="0">
            <x v="1"/>
          </reference>
          <reference field="3" count="1" selected="0">
            <x v="5"/>
          </reference>
        </references>
      </pivotArea>
    </chartFormat>
    <chartFormat chart="43" format="102">
      <pivotArea type="data" outline="0" fieldPosition="0">
        <references count="2">
          <reference field="4294967294" count="1" selected="0">
            <x v="1"/>
          </reference>
          <reference field="3" count="1" selected="0">
            <x v="6"/>
          </reference>
        </references>
      </pivotArea>
    </chartFormat>
    <chartFormat chart="43" format="103">
      <pivotArea type="data" outline="0" fieldPosition="0">
        <references count="2">
          <reference field="4294967294" count="1" selected="0">
            <x v="1"/>
          </reference>
          <reference field="3" count="1" selected="0">
            <x v="7"/>
          </reference>
        </references>
      </pivotArea>
    </chartFormat>
    <chartFormat chart="43" format="104">
      <pivotArea type="data" outline="0" fieldPosition="0">
        <references count="2">
          <reference field="4294967294" count="1" selected="0">
            <x v="1"/>
          </reference>
          <reference field="3" count="1" selected="0">
            <x v="8"/>
          </reference>
        </references>
      </pivotArea>
    </chartFormat>
    <chartFormat chart="43" format="105">
      <pivotArea type="data" outline="0" fieldPosition="0">
        <references count="2">
          <reference field="4294967294" count="1" selected="0">
            <x v="1"/>
          </reference>
          <reference field="3" count="1" selected="0">
            <x v="9"/>
          </reference>
        </references>
      </pivotArea>
    </chartFormat>
    <chartFormat chart="43" format="106">
      <pivotArea type="data" outline="0" fieldPosition="0">
        <references count="2">
          <reference field="4294967294" count="1" selected="0">
            <x v="1"/>
          </reference>
          <reference field="3" count="1" selected="0">
            <x v="10"/>
          </reference>
        </references>
      </pivotArea>
    </chartFormat>
    <chartFormat chart="43" format="107">
      <pivotArea type="data" outline="0" fieldPosition="0">
        <references count="2">
          <reference field="4294967294" count="1" selected="0">
            <x v="1"/>
          </reference>
          <reference field="3" count="1" selected="0">
            <x v="11"/>
          </reference>
        </references>
      </pivotArea>
    </chartFormat>
    <chartFormat chart="43" format="108">
      <pivotArea type="data" outline="0" fieldPosition="0">
        <references count="2">
          <reference field="4294967294" count="1" selected="0">
            <x v="1"/>
          </reference>
          <reference field="3" count="1" selected="0">
            <x v="12"/>
          </reference>
        </references>
      </pivotArea>
    </chartFormat>
    <chartFormat chart="43" format="109">
      <pivotArea type="data" outline="0" fieldPosition="0">
        <references count="2">
          <reference field="4294967294" count="1" selected="0">
            <x v="1"/>
          </reference>
          <reference field="3" count="1" selected="0">
            <x v="13"/>
          </reference>
        </references>
      </pivotArea>
    </chartFormat>
    <chartFormat chart="43" format="110">
      <pivotArea type="data" outline="0" fieldPosition="0">
        <references count="2">
          <reference field="4294967294" count="1" selected="0">
            <x v="1"/>
          </reference>
          <reference field="3" count="1" selected="0">
            <x v="14"/>
          </reference>
        </references>
      </pivotArea>
    </chartFormat>
    <chartFormat chart="43" format="111">
      <pivotArea type="data" outline="0" fieldPosition="0">
        <references count="2">
          <reference field="4294967294" count="1" selected="0">
            <x v="1"/>
          </reference>
          <reference field="3" count="1" selected="0">
            <x v="15"/>
          </reference>
        </references>
      </pivotArea>
    </chartFormat>
    <chartFormat chart="43" format="112">
      <pivotArea type="data" outline="0" fieldPosition="0">
        <references count="2">
          <reference field="4294967294" count="1" selected="0">
            <x v="1"/>
          </reference>
          <reference field="3" count="1" selected="0">
            <x v="16"/>
          </reference>
        </references>
      </pivotArea>
    </chartFormat>
    <chartFormat chart="43" format="113">
      <pivotArea type="data" outline="0" fieldPosition="0">
        <references count="2">
          <reference field="4294967294" count="1" selected="0">
            <x v="1"/>
          </reference>
          <reference field="3" count="1" selected="0">
            <x v="17"/>
          </reference>
        </references>
      </pivotArea>
    </chartFormat>
    <chartFormat chart="43" format="114">
      <pivotArea type="data" outline="0" fieldPosition="0">
        <references count="2">
          <reference field="4294967294" count="1" selected="0">
            <x v="1"/>
          </reference>
          <reference field="3" count="1" selected="0">
            <x v="18"/>
          </reference>
        </references>
      </pivotArea>
    </chartFormat>
    <chartFormat chart="43" format="115">
      <pivotArea type="data" outline="0" fieldPosition="0">
        <references count="2">
          <reference field="4294967294" count="1" selected="0">
            <x v="1"/>
          </reference>
          <reference field="3" count="1" selected="0">
            <x v="19"/>
          </reference>
        </references>
      </pivotArea>
    </chartFormat>
    <chartFormat chart="43" format="116">
      <pivotArea type="data" outline="0" fieldPosition="0">
        <references count="2">
          <reference field="4294967294" count="1" selected="0">
            <x v="1"/>
          </reference>
          <reference field="3" count="1" selected="0">
            <x v="20"/>
          </reference>
        </references>
      </pivotArea>
    </chartFormat>
    <chartFormat chart="43" format="117">
      <pivotArea type="data" outline="0" fieldPosition="0">
        <references count="2">
          <reference field="4294967294" count="1" selected="0">
            <x v="1"/>
          </reference>
          <reference field="3" count="1" selected="0">
            <x v="21"/>
          </reference>
        </references>
      </pivotArea>
    </chartFormat>
    <chartFormat chart="43" format="118">
      <pivotArea type="data" outline="0" fieldPosition="0">
        <references count="2">
          <reference field="4294967294" count="1" selected="0">
            <x v="1"/>
          </reference>
          <reference field="3" count="1" selected="0">
            <x v="22"/>
          </reference>
        </references>
      </pivotArea>
    </chartFormat>
    <chartFormat chart="43" format="119">
      <pivotArea type="data" outline="0" fieldPosition="0">
        <references count="2">
          <reference field="4294967294" count="1" selected="0">
            <x v="1"/>
          </reference>
          <reference field="3" count="1" selected="0">
            <x v="23"/>
          </reference>
        </references>
      </pivotArea>
    </chartFormat>
    <chartFormat chart="43" format="120">
      <pivotArea type="data" outline="0" fieldPosition="0">
        <references count="2">
          <reference field="4294967294" count="1" selected="0">
            <x v="1"/>
          </reference>
          <reference field="3" count="1" selected="0">
            <x v="24"/>
          </reference>
        </references>
      </pivotArea>
    </chartFormat>
    <chartFormat chart="43" format="121">
      <pivotArea type="data" outline="0" fieldPosition="0">
        <references count="2">
          <reference field="4294967294" count="1" selected="0">
            <x v="1"/>
          </reference>
          <reference field="3" count="1" selected="0">
            <x v="25"/>
          </reference>
        </references>
      </pivotArea>
    </chartFormat>
    <chartFormat chart="43" format="122">
      <pivotArea type="data" outline="0" fieldPosition="0">
        <references count="2">
          <reference field="4294967294" count="1" selected="0">
            <x v="1"/>
          </reference>
          <reference field="3" count="1" selected="0">
            <x v="26"/>
          </reference>
        </references>
      </pivotArea>
    </chartFormat>
    <chartFormat chart="43" format="123">
      <pivotArea type="data" outline="0" fieldPosition="0">
        <references count="2">
          <reference field="4294967294" count="1" selected="0">
            <x v="1"/>
          </reference>
          <reference field="3" count="1" selected="0">
            <x v="27"/>
          </reference>
        </references>
      </pivotArea>
    </chartFormat>
    <chartFormat chart="43" format="124">
      <pivotArea type="data" outline="0" fieldPosition="0">
        <references count="2">
          <reference field="4294967294" count="1" selected="0">
            <x v="1"/>
          </reference>
          <reference field="3" count="1" selected="0">
            <x v="28"/>
          </reference>
        </references>
      </pivotArea>
    </chartFormat>
    <chartFormat chart="43" format="125">
      <pivotArea type="data" outline="0" fieldPosition="0">
        <references count="2">
          <reference field="4294967294" count="1" selected="0">
            <x v="1"/>
          </reference>
          <reference field="3" count="1" selected="0">
            <x v="2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7E8ED41-F1E6-4DB0-B1DF-4DB64B329EAB}" name="Product Size wise Sales"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9">
  <location ref="A3:D7" firstHeaderRow="0" firstDataRow="1" firstDataCol="1"/>
  <pivotFields count="14">
    <pivotField showAll="0"/>
    <pivotField axis="axisRow" showAll="0">
      <items count="4">
        <item x="2"/>
        <item x="1"/>
        <item x="0"/>
        <item t="default"/>
      </items>
    </pivotField>
    <pivotField showAll="0"/>
    <pivotField showAll="0"/>
    <pivotField numFmtId="164" showAll="0"/>
    <pivotField numFmtId="164" showAll="0"/>
    <pivotField numFmtId="164" showAll="0"/>
    <pivotField showAll="0"/>
    <pivotField numFmtId="164" showAll="0"/>
    <pivotField dataField="1" numFmtId="164" showAll="0"/>
    <pivotField dataField="1" numFmtId="165" showAll="0"/>
    <pivotField dataField="1" numFmtId="165" showAll="0"/>
    <pivotField showAll="0"/>
    <pivotField showAll="0"/>
  </pivotFields>
  <rowFields count="1">
    <field x="1"/>
  </rowFields>
  <rowItems count="4">
    <i>
      <x/>
    </i>
    <i>
      <x v="1"/>
    </i>
    <i>
      <x v="2"/>
    </i>
    <i t="grand">
      <x/>
    </i>
  </rowItems>
  <colFields count="1">
    <field x="-2"/>
  </colFields>
  <colItems count="3">
    <i>
      <x/>
    </i>
    <i i="1">
      <x v="1"/>
    </i>
    <i i="2">
      <x v="2"/>
    </i>
  </colItems>
  <dataFields count="3">
    <dataField name="Sum of Total S.Price" fld="9" baseField="0" baseItem="0" numFmtId="164"/>
    <dataField name="Sum of Total C.Price" fld="10" baseField="0" baseItem="0" numFmtId="165"/>
    <dataField name="Sum of Profit Margin" fld="11" baseField="0" baseItem="0" numFmtId="165"/>
  </dataFields>
  <chartFormats count="12">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1"/>
          </reference>
        </references>
      </pivotArea>
    </chartFormat>
    <chartFormat chart="1" format="2" series="1">
      <pivotArea type="data" outline="0" fieldPosition="0">
        <references count="1">
          <reference field="4294967294" count="1" selected="0">
            <x v="2"/>
          </reference>
        </references>
      </pivotArea>
    </chartFormat>
    <chartFormat chart="7" format="6" series="1">
      <pivotArea type="data" outline="0" fieldPosition="0">
        <references count="1">
          <reference field="4294967294" count="1" selected="0">
            <x v="0"/>
          </reference>
        </references>
      </pivotArea>
    </chartFormat>
    <chartFormat chart="7" format="7" series="1">
      <pivotArea type="data" outline="0" fieldPosition="0">
        <references count="1">
          <reference field="4294967294" count="1" selected="0">
            <x v="1"/>
          </reference>
        </references>
      </pivotArea>
    </chartFormat>
    <chartFormat chart="7" format="8" series="1">
      <pivotArea type="data" outline="0" fieldPosition="0">
        <references count="1">
          <reference field="4294967294" count="1" selected="0">
            <x v="2"/>
          </reference>
        </references>
      </pivotArea>
    </chartFormat>
    <chartFormat chart="10" format="3" series="1">
      <pivotArea type="data" outline="0" fieldPosition="0">
        <references count="1">
          <reference field="4294967294" count="1" selected="0">
            <x v="0"/>
          </reference>
        </references>
      </pivotArea>
    </chartFormat>
    <chartFormat chart="10" format="4" series="1">
      <pivotArea type="data" outline="0" fieldPosition="0">
        <references count="1">
          <reference field="4294967294" count="1" selected="0">
            <x v="1"/>
          </reference>
        </references>
      </pivotArea>
    </chartFormat>
    <chartFormat chart="10" format="5" series="1">
      <pivotArea type="data" outline="0" fieldPosition="0">
        <references count="1">
          <reference field="4294967294" count="1" selected="0">
            <x v="2"/>
          </reference>
        </references>
      </pivotArea>
    </chartFormat>
    <chartFormat chart="11" format="6" series="1">
      <pivotArea type="data" outline="0" fieldPosition="0">
        <references count="1">
          <reference field="4294967294" count="1" selected="0">
            <x v="0"/>
          </reference>
        </references>
      </pivotArea>
    </chartFormat>
    <chartFormat chart="11" format="7" series="1">
      <pivotArea type="data" outline="0" fieldPosition="0">
        <references count="1">
          <reference field="4294967294" count="1" selected="0">
            <x v="1"/>
          </reference>
        </references>
      </pivotArea>
    </chartFormat>
    <chartFormat chart="11" format="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100CF9A-31FB-43B9-9C8C-A3E421F3E894}" name="SIZE"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1">
  <location ref="K4:M18" firstHeaderRow="0" firstDataRow="1" firstDataCol="1"/>
  <pivotFields count="14">
    <pivotField showAll="0"/>
    <pivotField showAll="0">
      <items count="4">
        <item x="2"/>
        <item x="1"/>
        <item x="0"/>
        <item t="default"/>
      </items>
    </pivotField>
    <pivotField showAll="0"/>
    <pivotField showAll="0"/>
    <pivotField numFmtId="164" showAll="0"/>
    <pivotField numFmtId="164" showAll="0"/>
    <pivotField numFmtId="164" showAll="0"/>
    <pivotField axis="axisRow" showAll="0">
      <items count="14">
        <item x="8"/>
        <item x="6"/>
        <item x="9"/>
        <item x="11"/>
        <item x="12"/>
        <item x="1"/>
        <item x="0"/>
        <item x="7"/>
        <item x="2"/>
        <item x="4"/>
        <item x="10"/>
        <item x="3"/>
        <item x="5"/>
        <item t="default"/>
      </items>
    </pivotField>
    <pivotField numFmtId="164" showAll="0"/>
    <pivotField dataField="1" numFmtId="164" showAll="0"/>
    <pivotField numFmtId="165" showAll="0"/>
    <pivotField dataField="1" numFmtId="165" showAll="0"/>
    <pivotField showAll="0"/>
    <pivotField showAll="0"/>
  </pivotFields>
  <rowFields count="1">
    <field x="7"/>
  </rowFields>
  <rowItems count="14">
    <i>
      <x/>
    </i>
    <i>
      <x v="1"/>
    </i>
    <i>
      <x v="2"/>
    </i>
    <i>
      <x v="3"/>
    </i>
    <i>
      <x v="4"/>
    </i>
    <i>
      <x v="5"/>
    </i>
    <i>
      <x v="6"/>
    </i>
    <i>
      <x v="7"/>
    </i>
    <i>
      <x v="8"/>
    </i>
    <i>
      <x v="9"/>
    </i>
    <i>
      <x v="10"/>
    </i>
    <i>
      <x v="11"/>
    </i>
    <i>
      <x v="12"/>
    </i>
    <i t="grand">
      <x/>
    </i>
  </rowItems>
  <colFields count="1">
    <field x="-2"/>
  </colFields>
  <colItems count="2">
    <i>
      <x/>
    </i>
    <i i="1">
      <x v="1"/>
    </i>
  </colItems>
  <dataFields count="2">
    <dataField name="Sum of Total S.Price" fld="9" baseField="0" baseItem="0" numFmtId="164"/>
    <dataField name="Sum of Profit Margin" fld="11" baseField="0" baseItem="0" numFmtId="165"/>
  </dataFields>
  <chartFormats count="8">
    <chartFormat chart="43" format="4" series="1">
      <pivotArea type="data" outline="0" fieldPosition="0">
        <references count="1">
          <reference field="4294967294" count="1" selected="0">
            <x v="0"/>
          </reference>
        </references>
      </pivotArea>
    </chartFormat>
    <chartFormat chart="10" format="10" series="1">
      <pivotArea type="data" outline="0" fieldPosition="0">
        <references count="1">
          <reference field="4294967294" count="1" selected="0">
            <x v="0"/>
          </reference>
        </references>
      </pivotArea>
    </chartFormat>
    <chartFormat chart="43" format="5" series="1">
      <pivotArea type="data" outline="0" fieldPosition="0">
        <references count="1">
          <reference field="4294967294" count="1" selected="0">
            <x v="1"/>
          </reference>
        </references>
      </pivotArea>
    </chartFormat>
    <chartFormat chart="10" format="11" series="1">
      <pivotArea type="data" outline="0" fieldPosition="0">
        <references count="1">
          <reference field="4294967294" count="1" selected="0">
            <x v="1"/>
          </reference>
        </references>
      </pivotArea>
    </chartFormat>
    <chartFormat chart="48" format="6" series="1">
      <pivotArea type="data" outline="0" fieldPosition="0">
        <references count="1">
          <reference field="4294967294" count="1" selected="0">
            <x v="0"/>
          </reference>
        </references>
      </pivotArea>
    </chartFormat>
    <chartFormat chart="48" format="7" series="1">
      <pivotArea type="data" outline="0" fieldPosition="0">
        <references count="1">
          <reference field="4294967294" count="1" selected="0">
            <x v="1"/>
          </reference>
        </references>
      </pivotArea>
    </chartFormat>
    <chartFormat chart="50" format="8" series="1">
      <pivotArea type="data" outline="0" fieldPosition="0">
        <references count="1">
          <reference field="4294967294" count="1" selected="0">
            <x v="0"/>
          </reference>
        </references>
      </pivotArea>
    </chartFormat>
    <chartFormat chart="50"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43F43DC-EED9-4772-8BBB-F425B0BCC024}" name="ID NAME"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6">
  <location ref="F3:I43" firstHeaderRow="0" firstDataRow="1" firstDataCol="1"/>
  <pivotFields count="14">
    <pivotField axis="axisRow" showAll="0">
      <items count="4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t="default"/>
      </items>
    </pivotField>
    <pivotField showAll="0">
      <items count="4">
        <item x="2"/>
        <item x="1"/>
        <item x="0"/>
        <item t="default"/>
      </items>
    </pivotField>
    <pivotField showAll="0"/>
    <pivotField showAll="0"/>
    <pivotField numFmtId="164" showAll="0"/>
    <pivotField numFmtId="164" showAll="0"/>
    <pivotField numFmtId="164" showAll="0"/>
    <pivotField showAll="0"/>
    <pivotField numFmtId="164" showAll="0"/>
    <pivotField dataField="1" numFmtId="164" showAll="0"/>
    <pivotField dataField="1" numFmtId="165" showAll="0"/>
    <pivotField dataField="1" numFmtId="165" showAll="0"/>
    <pivotField showAll="0"/>
    <pivotField showAll="0"/>
  </pivotFields>
  <rowFields count="1">
    <field x="0"/>
  </rowFields>
  <rowItems count="4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t="grand">
      <x/>
    </i>
  </rowItems>
  <colFields count="1">
    <field x="-2"/>
  </colFields>
  <colItems count="3">
    <i>
      <x/>
    </i>
    <i i="1">
      <x v="1"/>
    </i>
    <i i="2">
      <x v="2"/>
    </i>
  </colItems>
  <dataFields count="3">
    <dataField name="Sum of Total S.Price" fld="9" baseField="0" baseItem="0" numFmtId="164"/>
    <dataField name="Sum of Total C.Price" fld="10" baseField="0" baseItem="0" numFmtId="165"/>
    <dataField name="Sum of Profit Margin" fld="11" baseField="0" baseItem="0" numFmtId="165"/>
  </dataFields>
  <chartFormats count="9">
    <chartFormat chart="19" format="0" series="1">
      <pivotArea type="data" outline="0" fieldPosition="0">
        <references count="1">
          <reference field="4294967294" count="1" selected="0">
            <x v="0"/>
          </reference>
        </references>
      </pivotArea>
    </chartFormat>
    <chartFormat chart="19" format="1" series="1">
      <pivotArea type="data" outline="0" fieldPosition="0">
        <references count="1">
          <reference field="4294967294" count="1" selected="0">
            <x v="1"/>
          </reference>
        </references>
      </pivotArea>
    </chartFormat>
    <chartFormat chart="19" format="2" series="1">
      <pivotArea type="data" outline="0" fieldPosition="0">
        <references count="1">
          <reference field="4294967294" count="1" selected="0">
            <x v="2"/>
          </reference>
        </references>
      </pivotArea>
    </chartFormat>
    <chartFormat chart="20" format="3" series="1">
      <pivotArea type="data" outline="0" fieldPosition="0">
        <references count="1">
          <reference field="4294967294" count="1" selected="0">
            <x v="0"/>
          </reference>
        </references>
      </pivotArea>
    </chartFormat>
    <chartFormat chart="20" format="4" series="1">
      <pivotArea type="data" outline="0" fieldPosition="0">
        <references count="1">
          <reference field="4294967294" count="1" selected="0">
            <x v="1"/>
          </reference>
        </references>
      </pivotArea>
    </chartFormat>
    <chartFormat chart="20" format="5" series="1">
      <pivotArea type="data" outline="0" fieldPosition="0">
        <references count="1">
          <reference field="4294967294" count="1" selected="0">
            <x v="2"/>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2" format="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Name" xr10:uid="{E61462BD-1970-4A19-A07F-39D26B287238}" sourceName="Product Name">
  <pivotTables>
    <pivotTable tabId="9" name="Product Size wise Sales"/>
    <pivotTable tabId="9" name="Seller Name "/>
    <pivotTable tabId="9" name="SIZE"/>
    <pivotTable tabId="9" name="ID NAME"/>
  </pivotTables>
  <data>
    <tabular pivotCacheId="590813705">
      <items count="3">
        <i x="2" s="1"/>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 Name" xr10:uid="{89637BD0-C30D-4D5C-9FE1-64D175E17CA4}" cache="Slicer_Product_Name" caption="Product Name" style="SlicerStyleDark6" rowHeight="2984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772CDA5-52E7-4C2E-9080-7BA4097F5668}" name="Table1" displayName="Table1" ref="A1:C44" totalsRowShown="0" headerRowDxfId="5" dataDxfId="3" headerRowBorderDxfId="4" headerRowCellStyle="Title">
  <autoFilter ref="A1:C44" xr:uid="{A772CDA5-52E7-4C2E-9080-7BA4097F5668}"/>
  <tableColumns count="3">
    <tableColumn id="1" xr3:uid="{5D04BBA9-3F3D-44D8-8508-2654D378E8B9}" name="Category" dataDxfId="2"/>
    <tableColumn id="2" xr3:uid="{EF15AC5A-B19F-4A52-AAB9-D7CA12ECAFF0}" name="Shortcut" dataDxfId="1" dataCellStyle="Heading 2"/>
    <tableColumn id="3" xr3:uid="{40602BF6-1411-4294-8FD3-8537071C2404}" name="Action" dataDxfId="0" dataCellStyle="Heading 2"/>
  </tableColumns>
  <tableStyleInfo name="TableStyleMedium24" showFirstColumn="0" showLastColumn="0" showRowStripes="1" showColumnStripes="0"/>
</table>
</file>

<file path=xl/theme/theme1.xml><?xml version="1.0" encoding="utf-8"?>
<a:theme xmlns:a="http://schemas.openxmlformats.org/drawingml/2006/main" name="Dividend">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Dividend">
      <a:majorFont>
        <a:latin typeface="Gill Sans MT" panose="020B0502020104020203"/>
        <a:ea typeface=""/>
        <a:cs typeface=""/>
        <a:font script="Grek" typeface="Corbel"/>
        <a:font script="Cyrl" typeface="Corbel"/>
        <a:font script="Jpan" typeface="HGｺﾞｼｯｸE"/>
        <a:font script="Hang" typeface="휴먼매직체"/>
        <a:font script="Hans" typeface="华文中宋"/>
        <a:font script="Hant" typeface="微軟正黑體"/>
        <a:font script="Arab" typeface="Majalla UI"/>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Gill Sans MT" panose="020B0502020104020203"/>
        <a:ea typeface=""/>
        <a:cs typeface=""/>
        <a:font script="Grek" typeface="Corbel"/>
        <a:font script="Cyrl" typeface="Corbel"/>
        <a:font script="Jpan" typeface="HGｺﾞｼｯｸE"/>
        <a:font script="Hang" typeface="휴먼매직체"/>
        <a:font script="Hans" typeface="华文中宋"/>
        <a:font script="Hant" typeface="微軟正黑體"/>
        <a:font script="Arab" typeface="Majalla UI"/>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Office 2007-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90000"/>
                <a:lumMod val="110000"/>
              </a:schemeClr>
            </a:gs>
            <a:gs pos="88000">
              <a:schemeClr val="phClr">
                <a:shade val="94000"/>
                <a:satMod val="110000"/>
                <a:lumMod val="88000"/>
              </a:schemeClr>
            </a:gs>
          </a:gsLst>
          <a:lin ang="5400000" scaled="0"/>
        </a:gradFill>
        <a:gradFill rotWithShape="1">
          <a:gsLst>
            <a:gs pos="0">
              <a:schemeClr val="phClr">
                <a:tint val="90000"/>
                <a:lumMod val="110000"/>
              </a:schemeClr>
            </a:gs>
            <a:gs pos="100000">
              <a:schemeClr val="phClr">
                <a:shade val="98000"/>
                <a:satMod val="110000"/>
                <a:lumMod val="8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Dividend" id="{9697A71B-4AB7-4A1A-BD5B-BB2D22835B57}" vid="{C21699FF-00E4-43C8-BBCC-D7E5536C3717}"/>
    </a:ext>
  </a:extLst>
</a:theme>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7A4B07-5536-4F21-8C5E-39016059F09B}">
  <sheetPr codeName="Sheet7"/>
  <dimension ref="A1:B2"/>
  <sheetViews>
    <sheetView workbookViewId="0">
      <selection activeCell="B2" sqref="B2"/>
    </sheetView>
  </sheetViews>
  <sheetFormatPr defaultRowHeight="21.6" x14ac:dyDescent="0.55000000000000004"/>
  <sheetData>
    <row r="1" spans="1:2" x14ac:dyDescent="0.55000000000000004">
      <c r="A1" t="s">
        <v>55</v>
      </c>
    </row>
    <row r="2" spans="1:2" x14ac:dyDescent="0.55000000000000004">
      <c r="A2" t="s">
        <v>56</v>
      </c>
      <c r="B2" t="s">
        <v>101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372C5D-2509-40E5-BE9F-B28400B8D458}">
  <sheetPr codeName="Sheet2"/>
  <dimension ref="A3:M43"/>
  <sheetViews>
    <sheetView topLeftCell="H1" workbookViewId="0">
      <selection activeCell="L35" sqref="L35"/>
    </sheetView>
  </sheetViews>
  <sheetFormatPr defaultRowHeight="21.6" x14ac:dyDescent="0.55000000000000004"/>
  <cols>
    <col min="1" max="1" width="12.75" bestFit="1" customWidth="1"/>
    <col min="2" max="4" width="19.58203125" bestFit="1" customWidth="1"/>
    <col min="6" max="6" width="12.75" bestFit="1" customWidth="1"/>
    <col min="7" max="7" width="19.58203125" bestFit="1" customWidth="1"/>
    <col min="8" max="8" width="19.9140625" bestFit="1" customWidth="1"/>
    <col min="9" max="9" width="19.58203125" bestFit="1" customWidth="1"/>
    <col min="11" max="11" width="12.75" bestFit="1" customWidth="1"/>
    <col min="12" max="13" width="19.58203125" bestFit="1" customWidth="1"/>
    <col min="14" max="14" width="17.33203125" customWidth="1"/>
  </cols>
  <sheetData>
    <row r="3" spans="1:13" x14ac:dyDescent="0.55000000000000004">
      <c r="A3" s="20" t="s">
        <v>53</v>
      </c>
      <c r="B3" t="s">
        <v>98</v>
      </c>
      <c r="C3" t="s">
        <v>99</v>
      </c>
      <c r="D3" t="s">
        <v>100</v>
      </c>
      <c r="F3" s="20" t="s">
        <v>53</v>
      </c>
      <c r="G3" t="s">
        <v>98</v>
      </c>
      <c r="H3" t="s">
        <v>99</v>
      </c>
      <c r="I3" t="s">
        <v>100</v>
      </c>
    </row>
    <row r="4" spans="1:13" x14ac:dyDescent="0.55000000000000004">
      <c r="A4" s="21" t="s">
        <v>26</v>
      </c>
      <c r="B4" s="26">
        <v>143200</v>
      </c>
      <c r="C4" s="1">
        <v>89500</v>
      </c>
      <c r="D4" s="1">
        <v>53700</v>
      </c>
      <c r="F4" s="21" t="s">
        <v>57</v>
      </c>
      <c r="G4" s="26">
        <v>3450</v>
      </c>
      <c r="H4" s="1">
        <v>2300</v>
      </c>
      <c r="I4" s="1">
        <v>1150</v>
      </c>
      <c r="K4" s="20" t="s">
        <v>53</v>
      </c>
      <c r="L4" t="s">
        <v>98</v>
      </c>
      <c r="M4" t="s">
        <v>100</v>
      </c>
    </row>
    <row r="5" spans="1:13" x14ac:dyDescent="0.55000000000000004">
      <c r="A5" s="21" t="s">
        <v>16</v>
      </c>
      <c r="B5" s="26">
        <v>42000</v>
      </c>
      <c r="C5" s="1">
        <v>21840</v>
      </c>
      <c r="D5" s="1">
        <v>20160</v>
      </c>
      <c r="F5" s="21" t="s">
        <v>58</v>
      </c>
      <c r="G5" s="26">
        <v>3000</v>
      </c>
      <c r="H5" s="1">
        <v>2000</v>
      </c>
      <c r="I5" s="1">
        <v>1000</v>
      </c>
      <c r="K5" s="21">
        <v>5</v>
      </c>
      <c r="L5" s="26">
        <v>1250</v>
      </c>
      <c r="M5" s="1">
        <v>600</v>
      </c>
    </row>
    <row r="6" spans="1:13" x14ac:dyDescent="0.55000000000000004">
      <c r="A6" s="21" t="s">
        <v>15</v>
      </c>
      <c r="B6" s="26">
        <v>42900</v>
      </c>
      <c r="C6" s="1">
        <v>28600</v>
      </c>
      <c r="D6" s="1">
        <v>14300</v>
      </c>
      <c r="F6" s="21" t="s">
        <v>59</v>
      </c>
      <c r="G6" s="26">
        <v>4500</v>
      </c>
      <c r="H6" s="1">
        <v>3000</v>
      </c>
      <c r="I6" s="1">
        <v>1500</v>
      </c>
      <c r="K6" s="21">
        <v>10</v>
      </c>
      <c r="L6" s="26">
        <v>4000</v>
      </c>
      <c r="M6" s="1">
        <v>1700</v>
      </c>
    </row>
    <row r="7" spans="1:13" x14ac:dyDescent="0.55000000000000004">
      <c r="A7" s="21" t="s">
        <v>54</v>
      </c>
      <c r="B7" s="26">
        <v>228100</v>
      </c>
      <c r="C7" s="1">
        <v>139940</v>
      </c>
      <c r="D7" s="1">
        <v>88160</v>
      </c>
      <c r="F7" s="21" t="s">
        <v>60</v>
      </c>
      <c r="G7" s="26">
        <v>6000</v>
      </c>
      <c r="H7" s="1">
        <v>4000</v>
      </c>
      <c r="I7" s="1">
        <v>2000</v>
      </c>
      <c r="K7" s="21">
        <v>15</v>
      </c>
      <c r="L7" s="26">
        <v>75000</v>
      </c>
      <c r="M7" s="1">
        <v>29700</v>
      </c>
    </row>
    <row r="8" spans="1:13" x14ac:dyDescent="0.55000000000000004">
      <c r="F8" s="21" t="s">
        <v>61</v>
      </c>
      <c r="G8" s="26">
        <v>5100</v>
      </c>
      <c r="H8" s="1">
        <v>3400</v>
      </c>
      <c r="I8" s="1">
        <v>1700</v>
      </c>
      <c r="K8" s="21">
        <v>16</v>
      </c>
      <c r="L8" s="26">
        <v>6400</v>
      </c>
      <c r="M8" s="1">
        <v>2400</v>
      </c>
    </row>
    <row r="9" spans="1:13" x14ac:dyDescent="0.55000000000000004">
      <c r="F9" s="21" t="s">
        <v>62</v>
      </c>
      <c r="G9" s="26">
        <v>8100</v>
      </c>
      <c r="H9" s="1">
        <v>5400</v>
      </c>
      <c r="I9" s="1">
        <v>2700</v>
      </c>
      <c r="K9" s="21">
        <v>17</v>
      </c>
      <c r="L9" s="26">
        <v>6800</v>
      </c>
      <c r="M9" s="1">
        <v>2550</v>
      </c>
    </row>
    <row r="10" spans="1:13" x14ac:dyDescent="0.55000000000000004">
      <c r="A10" s="20" t="s">
        <v>53</v>
      </c>
      <c r="B10" t="s">
        <v>98</v>
      </c>
      <c r="C10" t="s">
        <v>100</v>
      </c>
      <c r="F10" s="21" t="s">
        <v>63</v>
      </c>
      <c r="G10" s="26">
        <v>4500</v>
      </c>
      <c r="H10" s="1">
        <v>3000</v>
      </c>
      <c r="I10" s="1">
        <v>1500</v>
      </c>
      <c r="K10" s="21">
        <v>20</v>
      </c>
      <c r="L10" s="26">
        <v>40000</v>
      </c>
      <c r="M10" s="1">
        <v>15800</v>
      </c>
    </row>
    <row r="11" spans="1:13" x14ac:dyDescent="0.55000000000000004">
      <c r="A11" s="21" t="s">
        <v>9</v>
      </c>
      <c r="B11" s="26">
        <v>14100</v>
      </c>
      <c r="C11" s="1">
        <v>4950</v>
      </c>
      <c r="F11" s="21" t="s">
        <v>64</v>
      </c>
      <c r="G11" s="26">
        <v>1500</v>
      </c>
      <c r="H11" s="1">
        <v>1000</v>
      </c>
      <c r="I11" s="1">
        <v>500</v>
      </c>
      <c r="K11" s="21">
        <v>23</v>
      </c>
      <c r="L11" s="26">
        <v>9200</v>
      </c>
      <c r="M11" s="1">
        <v>3910</v>
      </c>
    </row>
    <row r="12" spans="1:13" x14ac:dyDescent="0.55000000000000004">
      <c r="A12" s="21" t="s">
        <v>28</v>
      </c>
      <c r="B12" s="26">
        <v>6000</v>
      </c>
      <c r="C12" s="1">
        <v>2250</v>
      </c>
      <c r="F12" s="21" t="s">
        <v>65</v>
      </c>
      <c r="G12" s="26">
        <v>3000</v>
      </c>
      <c r="H12" s="1">
        <v>2000</v>
      </c>
      <c r="I12" s="1">
        <v>1000</v>
      </c>
      <c r="K12" s="21">
        <v>25</v>
      </c>
      <c r="L12" s="26">
        <v>23750</v>
      </c>
      <c r="M12" s="1">
        <v>8750</v>
      </c>
    </row>
    <row r="13" spans="1:13" x14ac:dyDescent="0.55000000000000004">
      <c r="A13" s="21" t="s">
        <v>11</v>
      </c>
      <c r="B13" s="26">
        <v>7500</v>
      </c>
      <c r="C13" s="1">
        <v>2750</v>
      </c>
      <c r="F13" s="21" t="s">
        <v>66</v>
      </c>
      <c r="G13" s="26">
        <v>3750</v>
      </c>
      <c r="H13" s="1">
        <v>2500</v>
      </c>
      <c r="I13" s="1">
        <v>1250</v>
      </c>
      <c r="K13" s="21">
        <v>30</v>
      </c>
      <c r="L13" s="26">
        <v>28500</v>
      </c>
      <c r="M13" s="1">
        <v>11100</v>
      </c>
    </row>
    <row r="14" spans="1:13" x14ac:dyDescent="0.55000000000000004">
      <c r="A14" s="21" t="s">
        <v>18</v>
      </c>
      <c r="B14" s="26">
        <v>1250</v>
      </c>
      <c r="C14" s="1">
        <v>600</v>
      </c>
      <c r="F14" s="21" t="s">
        <v>67</v>
      </c>
      <c r="G14" s="26">
        <v>2500</v>
      </c>
      <c r="H14" s="1">
        <v>1300</v>
      </c>
      <c r="I14" s="1">
        <v>1200</v>
      </c>
      <c r="K14" s="21">
        <v>34</v>
      </c>
      <c r="L14" s="26">
        <v>5100</v>
      </c>
      <c r="M14" s="1">
        <v>1700</v>
      </c>
    </row>
    <row r="15" spans="1:13" x14ac:dyDescent="0.55000000000000004">
      <c r="A15" s="21" t="s">
        <v>25</v>
      </c>
      <c r="B15" s="26">
        <v>5750</v>
      </c>
      <c r="C15" s="1">
        <v>2760</v>
      </c>
      <c r="F15" s="21" t="s">
        <v>68</v>
      </c>
      <c r="G15" s="26">
        <v>1250</v>
      </c>
      <c r="H15" s="1">
        <v>650</v>
      </c>
      <c r="I15" s="1">
        <v>600</v>
      </c>
      <c r="K15" s="21">
        <v>35</v>
      </c>
      <c r="L15" s="26">
        <v>14000</v>
      </c>
      <c r="M15" s="1">
        <v>5250</v>
      </c>
    </row>
    <row r="16" spans="1:13" x14ac:dyDescent="0.55000000000000004">
      <c r="A16" s="21" t="s">
        <v>35</v>
      </c>
      <c r="B16" s="26">
        <v>6000</v>
      </c>
      <c r="C16" s="1">
        <v>2250</v>
      </c>
      <c r="F16" s="21" t="s">
        <v>69</v>
      </c>
      <c r="G16" s="26">
        <v>3750</v>
      </c>
      <c r="H16" s="1">
        <v>1950</v>
      </c>
      <c r="I16" s="1">
        <v>1800</v>
      </c>
      <c r="K16" s="21">
        <v>40</v>
      </c>
      <c r="L16" s="26">
        <v>6000</v>
      </c>
      <c r="M16" s="1">
        <v>2000</v>
      </c>
    </row>
    <row r="17" spans="1:13" x14ac:dyDescent="0.55000000000000004">
      <c r="A17" s="21" t="s">
        <v>21</v>
      </c>
      <c r="B17" s="26">
        <v>3750</v>
      </c>
      <c r="C17" s="1">
        <v>1800</v>
      </c>
      <c r="F17" s="21" t="s">
        <v>70</v>
      </c>
      <c r="G17" s="26">
        <v>3750</v>
      </c>
      <c r="H17" s="1">
        <v>1950</v>
      </c>
      <c r="I17" s="1">
        <v>1800</v>
      </c>
      <c r="K17" s="21">
        <v>54</v>
      </c>
      <c r="L17" s="26">
        <v>8100</v>
      </c>
      <c r="M17" s="1">
        <v>2700</v>
      </c>
    </row>
    <row r="18" spans="1:13" x14ac:dyDescent="0.55000000000000004">
      <c r="A18" s="21" t="s">
        <v>30</v>
      </c>
      <c r="B18" s="26">
        <v>10000</v>
      </c>
      <c r="C18" s="1">
        <v>3750</v>
      </c>
      <c r="F18" s="21" t="s">
        <v>71</v>
      </c>
      <c r="G18" s="26">
        <v>3750</v>
      </c>
      <c r="H18" s="1">
        <v>1950</v>
      </c>
      <c r="I18" s="1">
        <v>1800</v>
      </c>
      <c r="K18" s="21" t="s">
        <v>54</v>
      </c>
      <c r="L18" s="26">
        <v>228100</v>
      </c>
      <c r="M18" s="1">
        <v>88160</v>
      </c>
    </row>
    <row r="19" spans="1:13" x14ac:dyDescent="0.55000000000000004">
      <c r="A19" s="21" t="s">
        <v>23</v>
      </c>
      <c r="B19" s="26">
        <v>3750</v>
      </c>
      <c r="C19" s="1">
        <v>1800</v>
      </c>
      <c r="F19" s="21" t="s">
        <v>72</v>
      </c>
      <c r="G19" s="26">
        <v>5000</v>
      </c>
      <c r="H19" s="1">
        <v>2600</v>
      </c>
      <c r="I19" s="1">
        <v>2400</v>
      </c>
    </row>
    <row r="20" spans="1:13" x14ac:dyDescent="0.55000000000000004">
      <c r="A20" s="21" t="s">
        <v>24</v>
      </c>
      <c r="B20" s="26">
        <v>5000</v>
      </c>
      <c r="C20" s="1">
        <v>2400</v>
      </c>
      <c r="F20" s="21" t="s">
        <v>73</v>
      </c>
      <c r="G20" s="26">
        <v>7500</v>
      </c>
      <c r="H20" s="1">
        <v>3900</v>
      </c>
      <c r="I20" s="1">
        <v>3600</v>
      </c>
    </row>
    <row r="21" spans="1:13" x14ac:dyDescent="0.55000000000000004">
      <c r="A21" s="21" t="s">
        <v>22</v>
      </c>
      <c r="B21" s="26">
        <v>7500</v>
      </c>
      <c r="C21" s="1">
        <v>3600</v>
      </c>
      <c r="F21" s="21" t="s">
        <v>74</v>
      </c>
      <c r="G21" s="26">
        <v>3750</v>
      </c>
      <c r="H21" s="1">
        <v>1950</v>
      </c>
      <c r="I21" s="1">
        <v>1800</v>
      </c>
    </row>
    <row r="22" spans="1:13" x14ac:dyDescent="0.55000000000000004">
      <c r="A22" s="21" t="s">
        <v>31</v>
      </c>
      <c r="B22" s="26">
        <v>12000</v>
      </c>
      <c r="C22" s="1">
        <v>4500</v>
      </c>
      <c r="F22" s="21" t="s">
        <v>75</v>
      </c>
      <c r="G22" s="26">
        <v>5000</v>
      </c>
      <c r="H22" s="1">
        <v>2600</v>
      </c>
      <c r="I22" s="1">
        <v>2400</v>
      </c>
    </row>
    <row r="23" spans="1:13" x14ac:dyDescent="0.55000000000000004">
      <c r="A23" s="21" t="s">
        <v>27</v>
      </c>
      <c r="B23" s="26">
        <v>6000</v>
      </c>
      <c r="C23" s="1">
        <v>2250</v>
      </c>
      <c r="F23" s="21" t="s">
        <v>76</v>
      </c>
      <c r="G23" s="26">
        <v>5750</v>
      </c>
      <c r="H23" s="1">
        <v>2990</v>
      </c>
      <c r="I23" s="1">
        <v>2760</v>
      </c>
    </row>
    <row r="24" spans="1:13" x14ac:dyDescent="0.55000000000000004">
      <c r="A24" s="21" t="s">
        <v>29</v>
      </c>
      <c r="B24" s="26">
        <v>8000</v>
      </c>
      <c r="C24" s="1">
        <v>3000</v>
      </c>
      <c r="F24" s="21" t="s">
        <v>77</v>
      </c>
      <c r="G24" s="26">
        <v>6000</v>
      </c>
      <c r="H24" s="1">
        <v>3750</v>
      </c>
      <c r="I24" s="1">
        <v>2250</v>
      </c>
    </row>
    <row r="25" spans="1:13" x14ac:dyDescent="0.55000000000000004">
      <c r="A25" s="21" t="s">
        <v>36</v>
      </c>
      <c r="B25" s="26">
        <v>6000</v>
      </c>
      <c r="C25" s="1">
        <v>2250</v>
      </c>
      <c r="F25" s="21" t="s">
        <v>78</v>
      </c>
      <c r="G25" s="26">
        <v>6000</v>
      </c>
      <c r="H25" s="1">
        <v>3750</v>
      </c>
      <c r="I25" s="1">
        <v>2250</v>
      </c>
    </row>
    <row r="26" spans="1:13" x14ac:dyDescent="0.55000000000000004">
      <c r="A26" s="21" t="s">
        <v>8</v>
      </c>
      <c r="B26" s="26">
        <v>16100</v>
      </c>
      <c r="C26" s="1">
        <v>6350</v>
      </c>
      <c r="F26" s="21" t="s">
        <v>79</v>
      </c>
      <c r="G26" s="26">
        <v>8000</v>
      </c>
      <c r="H26" s="1">
        <v>5000</v>
      </c>
      <c r="I26" s="1">
        <v>3000</v>
      </c>
    </row>
    <row r="27" spans="1:13" x14ac:dyDescent="0.55000000000000004">
      <c r="A27" s="21" t="s">
        <v>5</v>
      </c>
      <c r="B27" s="26">
        <v>9800</v>
      </c>
      <c r="C27" s="1">
        <v>3550</v>
      </c>
      <c r="F27" s="21" t="s">
        <v>80</v>
      </c>
      <c r="G27" s="26">
        <v>10000</v>
      </c>
      <c r="H27" s="1">
        <v>6250</v>
      </c>
      <c r="I27" s="1">
        <v>3750</v>
      </c>
    </row>
    <row r="28" spans="1:13" x14ac:dyDescent="0.55000000000000004">
      <c r="A28" s="21" t="s">
        <v>33</v>
      </c>
      <c r="B28" s="26">
        <v>6400</v>
      </c>
      <c r="C28" s="1">
        <v>2400</v>
      </c>
      <c r="F28" s="21" t="s">
        <v>81</v>
      </c>
      <c r="G28" s="26">
        <v>12000</v>
      </c>
      <c r="H28" s="1">
        <v>7500</v>
      </c>
      <c r="I28" s="1">
        <v>4500</v>
      </c>
    </row>
    <row r="29" spans="1:13" x14ac:dyDescent="0.55000000000000004">
      <c r="A29" s="21" t="s">
        <v>3</v>
      </c>
      <c r="B29" s="26">
        <v>3450</v>
      </c>
      <c r="C29" s="1">
        <v>1150</v>
      </c>
      <c r="F29" s="21" t="s">
        <v>82</v>
      </c>
      <c r="G29" s="26">
        <v>14000</v>
      </c>
      <c r="H29" s="1">
        <v>8750</v>
      </c>
      <c r="I29" s="1">
        <v>5250</v>
      </c>
    </row>
    <row r="30" spans="1:13" x14ac:dyDescent="0.55000000000000004">
      <c r="A30" s="21" t="s">
        <v>19</v>
      </c>
      <c r="B30" s="26">
        <v>3750</v>
      </c>
      <c r="C30" s="1">
        <v>1800</v>
      </c>
      <c r="F30" s="21" t="s">
        <v>83</v>
      </c>
      <c r="G30" s="26">
        <v>6400</v>
      </c>
      <c r="H30" s="1">
        <v>4000</v>
      </c>
      <c r="I30" s="1">
        <v>2400</v>
      </c>
    </row>
    <row r="31" spans="1:13" x14ac:dyDescent="0.55000000000000004">
      <c r="A31" s="21" t="s">
        <v>12</v>
      </c>
      <c r="B31" s="26">
        <v>9000</v>
      </c>
      <c r="C31" s="1">
        <v>3250</v>
      </c>
      <c r="F31" s="21" t="s">
        <v>84</v>
      </c>
      <c r="G31" s="26">
        <v>6800</v>
      </c>
      <c r="H31" s="1">
        <v>4250</v>
      </c>
      <c r="I31" s="1">
        <v>2550</v>
      </c>
    </row>
    <row r="32" spans="1:13" x14ac:dyDescent="0.55000000000000004">
      <c r="A32" s="21" t="s">
        <v>7</v>
      </c>
      <c r="B32" s="26">
        <v>16000</v>
      </c>
      <c r="C32" s="1">
        <v>5750</v>
      </c>
      <c r="F32" s="21" t="s">
        <v>85</v>
      </c>
      <c r="G32" s="26">
        <v>8000</v>
      </c>
      <c r="H32" s="1">
        <v>5000</v>
      </c>
      <c r="I32" s="1">
        <v>3000</v>
      </c>
    </row>
    <row r="33" spans="1:9" x14ac:dyDescent="0.55000000000000004">
      <c r="A33" s="21" t="s">
        <v>6</v>
      </c>
      <c r="B33" s="26">
        <v>12500</v>
      </c>
      <c r="C33" s="1">
        <v>4500</v>
      </c>
      <c r="F33" s="21" t="s">
        <v>86</v>
      </c>
      <c r="G33" s="26">
        <v>10000</v>
      </c>
      <c r="H33" s="1">
        <v>6250</v>
      </c>
      <c r="I33" s="1">
        <v>3750</v>
      </c>
    </row>
    <row r="34" spans="1:9" x14ac:dyDescent="0.55000000000000004">
      <c r="A34" s="21" t="s">
        <v>20</v>
      </c>
      <c r="B34" s="26">
        <v>3750</v>
      </c>
      <c r="C34" s="1">
        <v>1800</v>
      </c>
      <c r="F34" s="21" t="s">
        <v>87</v>
      </c>
      <c r="G34" s="26">
        <v>6000</v>
      </c>
      <c r="H34" s="1">
        <v>3750</v>
      </c>
      <c r="I34" s="1">
        <v>2250</v>
      </c>
    </row>
    <row r="35" spans="1:9" x14ac:dyDescent="0.55000000000000004">
      <c r="A35" s="21" t="s">
        <v>10</v>
      </c>
      <c r="B35" s="26">
        <v>10500</v>
      </c>
      <c r="C35" s="1">
        <v>3750</v>
      </c>
      <c r="F35" s="21" t="s">
        <v>88</v>
      </c>
      <c r="G35" s="26">
        <v>6000</v>
      </c>
      <c r="H35" s="1">
        <v>3750</v>
      </c>
      <c r="I35" s="1">
        <v>2250</v>
      </c>
    </row>
    <row r="36" spans="1:9" x14ac:dyDescent="0.55000000000000004">
      <c r="A36" s="21" t="s">
        <v>13</v>
      </c>
      <c r="B36" s="26">
        <v>3750</v>
      </c>
      <c r="C36" s="1">
        <v>1250</v>
      </c>
      <c r="F36" s="21" t="s">
        <v>89</v>
      </c>
      <c r="G36" s="26">
        <v>6000</v>
      </c>
      <c r="H36" s="1">
        <v>3750</v>
      </c>
      <c r="I36" s="1">
        <v>2250</v>
      </c>
    </row>
    <row r="37" spans="1:9" x14ac:dyDescent="0.55000000000000004">
      <c r="A37" s="21" t="s">
        <v>17</v>
      </c>
      <c r="B37" s="26">
        <v>2500</v>
      </c>
      <c r="C37" s="1">
        <v>1200</v>
      </c>
      <c r="F37" s="21" t="s">
        <v>90</v>
      </c>
      <c r="G37" s="26">
        <v>6000</v>
      </c>
      <c r="H37" s="1">
        <v>3750</v>
      </c>
      <c r="I37" s="1">
        <v>2250</v>
      </c>
    </row>
    <row r="38" spans="1:9" x14ac:dyDescent="0.55000000000000004">
      <c r="A38" s="21" t="s">
        <v>34</v>
      </c>
      <c r="B38" s="26">
        <v>6000</v>
      </c>
      <c r="C38" s="1">
        <v>2250</v>
      </c>
      <c r="F38" s="21" t="s">
        <v>91</v>
      </c>
      <c r="G38" s="26">
        <v>6000</v>
      </c>
      <c r="H38" s="1">
        <v>3750</v>
      </c>
      <c r="I38" s="1">
        <v>2250</v>
      </c>
    </row>
    <row r="39" spans="1:9" x14ac:dyDescent="0.55000000000000004">
      <c r="A39" s="21" t="s">
        <v>37</v>
      </c>
      <c r="B39" s="26">
        <v>8000</v>
      </c>
      <c r="C39" s="1">
        <v>3000</v>
      </c>
      <c r="F39" s="21" t="s">
        <v>92</v>
      </c>
      <c r="G39" s="26">
        <v>6000</v>
      </c>
      <c r="H39" s="1">
        <v>3750</v>
      </c>
      <c r="I39" s="1">
        <v>2250</v>
      </c>
    </row>
    <row r="40" spans="1:9" x14ac:dyDescent="0.55000000000000004">
      <c r="A40" s="21" t="s">
        <v>32</v>
      </c>
      <c r="B40" s="26">
        <v>14000</v>
      </c>
      <c r="C40" s="1">
        <v>5250</v>
      </c>
      <c r="F40" s="21" t="s">
        <v>93</v>
      </c>
      <c r="G40" s="26">
        <v>6000</v>
      </c>
      <c r="H40" s="1">
        <v>3750</v>
      </c>
      <c r="I40" s="1">
        <v>2250</v>
      </c>
    </row>
    <row r="41" spans="1:9" x14ac:dyDescent="0.55000000000000004">
      <c r="A41" s="21" t="s">
        <v>54</v>
      </c>
      <c r="B41" s="26">
        <v>228100</v>
      </c>
      <c r="C41" s="1">
        <v>88160</v>
      </c>
      <c r="F41" s="21" t="s">
        <v>94</v>
      </c>
      <c r="G41" s="26">
        <v>6000</v>
      </c>
      <c r="H41" s="1">
        <v>3750</v>
      </c>
      <c r="I41" s="1">
        <v>2250</v>
      </c>
    </row>
    <row r="42" spans="1:9" x14ac:dyDescent="0.55000000000000004">
      <c r="F42" s="21" t="s">
        <v>95</v>
      </c>
      <c r="G42" s="26">
        <v>8000</v>
      </c>
      <c r="H42" s="1">
        <v>5000</v>
      </c>
      <c r="I42" s="1">
        <v>3000</v>
      </c>
    </row>
    <row r="43" spans="1:9" x14ac:dyDescent="0.55000000000000004">
      <c r="F43" s="21" t="s">
        <v>54</v>
      </c>
      <c r="G43" s="26">
        <v>228100</v>
      </c>
      <c r="H43" s="1">
        <v>139940</v>
      </c>
      <c r="I43" s="1">
        <v>88160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1670B0-1F76-47D7-AAEF-CB21442FBBCD}">
  <sheetPr codeName="Sheet3"/>
  <dimension ref="A1"/>
  <sheetViews>
    <sheetView tabSelected="1" topLeftCell="A2" zoomScale="76" zoomScaleNormal="76" workbookViewId="0">
      <selection activeCell="X25" sqref="X25"/>
    </sheetView>
  </sheetViews>
  <sheetFormatPr defaultRowHeight="21.6" x14ac:dyDescent="0.55000000000000004"/>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9AAEBF-77F9-45B2-AB36-5A1E4A22782E}">
  <sheetPr codeName="Sheet1"/>
  <dimension ref="A1:W56"/>
  <sheetViews>
    <sheetView topLeftCell="H1" zoomScale="85" zoomScaleNormal="85" workbookViewId="0">
      <selection activeCell="G53" sqref="G53"/>
    </sheetView>
  </sheetViews>
  <sheetFormatPr defaultRowHeight="21.6" x14ac:dyDescent="0.55000000000000004"/>
  <cols>
    <col min="1" max="1" width="15.5" bestFit="1" customWidth="1"/>
    <col min="2" max="2" width="12.33203125" customWidth="1"/>
    <col min="3" max="3" width="13.58203125" customWidth="1"/>
    <col min="4" max="4" width="13.58203125" bestFit="1" customWidth="1"/>
    <col min="5" max="5" width="11.5" customWidth="1"/>
    <col min="6" max="6" width="12.4140625" customWidth="1"/>
    <col min="7" max="7" width="11.4140625" customWidth="1"/>
    <col min="8" max="8" width="11.58203125" customWidth="1"/>
    <col min="9" max="9" width="12.1640625" bestFit="1" customWidth="1"/>
    <col min="10" max="10" width="12.6640625" bestFit="1" customWidth="1"/>
    <col min="11" max="11" width="14.5" customWidth="1"/>
    <col min="12" max="12" width="12.83203125" bestFit="1" customWidth="1"/>
    <col min="13" max="13" width="12.58203125" customWidth="1"/>
    <col min="14" max="14" width="14.33203125" customWidth="1"/>
    <col min="15" max="15" width="10.58203125" customWidth="1"/>
    <col min="16" max="18" width="11.9140625" customWidth="1"/>
    <col min="19" max="19" width="15.1640625" style="39" bestFit="1" customWidth="1"/>
    <col min="20" max="20" width="11.9140625" style="39" customWidth="1"/>
    <col min="21" max="21" width="7.25" bestFit="1" customWidth="1"/>
    <col min="22" max="22" width="10.08203125" bestFit="1" customWidth="1"/>
    <col min="23" max="23" width="9.6640625" bestFit="1" customWidth="1"/>
  </cols>
  <sheetData>
    <row r="1" spans="1:23" x14ac:dyDescent="0.55000000000000004">
      <c r="E1" s="78" t="s">
        <v>96</v>
      </c>
      <c r="F1" s="79"/>
      <c r="G1" s="79"/>
      <c r="H1" s="79"/>
      <c r="I1" s="80"/>
    </row>
    <row r="2" spans="1:23" ht="22.2" thickBot="1" x14ac:dyDescent="0.6">
      <c r="E2" s="81"/>
      <c r="F2" s="82"/>
      <c r="G2" s="82"/>
      <c r="H2" s="82"/>
      <c r="I2" s="83"/>
    </row>
    <row r="3" spans="1:23" ht="22.2" thickBot="1" x14ac:dyDescent="0.6">
      <c r="B3" s="25" t="s">
        <v>97</v>
      </c>
      <c r="C3" s="2" t="s">
        <v>1</v>
      </c>
      <c r="D3" s="2" t="s">
        <v>14</v>
      </c>
      <c r="E3" s="5" t="s">
        <v>4</v>
      </c>
      <c r="F3" s="3" t="s">
        <v>38</v>
      </c>
      <c r="G3" s="2" t="s">
        <v>39</v>
      </c>
      <c r="H3" s="2" t="s">
        <v>42</v>
      </c>
      <c r="I3" s="3" t="s">
        <v>2</v>
      </c>
      <c r="J3" s="2" t="s">
        <v>43</v>
      </c>
      <c r="K3" s="4" t="s">
        <v>40</v>
      </c>
      <c r="L3" s="2" t="s">
        <v>44</v>
      </c>
      <c r="M3" s="6" t="s">
        <v>41</v>
      </c>
      <c r="N3" s="28" t="s">
        <v>45</v>
      </c>
      <c r="O3" s="28" t="s">
        <v>46</v>
      </c>
      <c r="P3" s="27" t="s">
        <v>102</v>
      </c>
      <c r="Q3" s="27" t="s">
        <v>106</v>
      </c>
      <c r="R3" s="27" t="s">
        <v>106</v>
      </c>
      <c r="S3" s="40" t="s">
        <v>108</v>
      </c>
      <c r="T3" s="40" t="s">
        <v>107</v>
      </c>
      <c r="U3" s="27" t="s">
        <v>103</v>
      </c>
      <c r="V3" s="28" t="s">
        <v>104</v>
      </c>
      <c r="W3" s="28" t="s">
        <v>105</v>
      </c>
    </row>
    <row r="4" spans="1:23" s="51" customFormat="1" x14ac:dyDescent="0.55000000000000004">
      <c r="A4" s="41"/>
      <c r="B4" s="42" t="s">
        <v>57</v>
      </c>
      <c r="C4" s="42" t="s">
        <v>15</v>
      </c>
      <c r="D4" s="43">
        <v>32</v>
      </c>
      <c r="E4" s="42" t="s">
        <v>3</v>
      </c>
      <c r="F4" s="44">
        <v>80</v>
      </c>
      <c r="G4" s="45">
        <v>20</v>
      </c>
      <c r="H4" s="45">
        <v>100</v>
      </c>
      <c r="I4" s="43">
        <v>23</v>
      </c>
      <c r="J4" s="46">
        <v>150</v>
      </c>
      <c r="K4" s="45">
        <f t="shared" ref="K4:K42" si="0">I4*J4</f>
        <v>3450</v>
      </c>
      <c r="L4" s="47">
        <f>(F4+G4)*I4</f>
        <v>2300</v>
      </c>
      <c r="M4" s="48">
        <f>K4-L4</f>
        <v>1150</v>
      </c>
      <c r="N4" s="49">
        <f t="shared" ref="N4:N10" si="1">SUM(
  SUMIFS(M4:M42, D4:D42, 32),
  SUMIFS(M4:M42, D4:D42, 34),
  SUMIFS(M4:M42, D4:D42, 42)
)</f>
        <v>88160</v>
      </c>
      <c r="O4" s="49" cm="1">
        <f t="array" ref="O4:O42">VLOOKUP(B4:B42,B4:M42,12,0)</f>
        <v>1150</v>
      </c>
      <c r="P4" s="49" t="str">
        <f>IF(AND(K3&gt;5000, M3&gt;2000), "Great sales", "Average sales")</f>
        <v>Great sales</v>
      </c>
      <c r="Q4" s="49" t="str">
        <f>IF(OR(K4&gt;1200, M4&gt;=1000), "Better result", "Need Improvement")</f>
        <v>Better result</v>
      </c>
      <c r="R4" s="49" t="str">
        <f>IF(OR(M4&gt;1000,K4&gt;2000,K4&lt;3000,I4&gt;10),"NiceDeal","Average Deal")</f>
        <v>NiceDeal</v>
      </c>
      <c r="S4" s="50">
        <f t="shared" ref="S4:S10" si="2">SUMIFS(M4:M42,E4:E42,"Ra*")</f>
        <v>17500</v>
      </c>
      <c r="T4" s="50">
        <f t="shared" ref="T4:T10" si="3">AVERAGEIFS(K4:K42,I4:I42,"&gt;15",M4:M42,"&gt;900")</f>
        <v>6720.454545454545</v>
      </c>
      <c r="U4" s="49" t="s">
        <v>18</v>
      </c>
      <c r="V4" s="49" t="str" cm="1">
        <f t="array" ref="V4:W4">_xlfn.XLOOKUP(U4, E4:E42, CHOOSE({1,2}, P4:P42, I4:I42))</f>
        <v>Average sales</v>
      </c>
      <c r="W4" s="49">
        <v>5</v>
      </c>
    </row>
    <row r="5" spans="1:23" s="51" customFormat="1" x14ac:dyDescent="0.55000000000000004">
      <c r="A5" s="41"/>
      <c r="B5" s="52" t="s">
        <v>58</v>
      </c>
      <c r="C5" s="52" t="s">
        <v>15</v>
      </c>
      <c r="D5" s="53">
        <v>32</v>
      </c>
      <c r="E5" s="52" t="s">
        <v>5</v>
      </c>
      <c r="F5" s="54">
        <v>80</v>
      </c>
      <c r="G5" s="55">
        <v>20</v>
      </c>
      <c r="H5" s="56">
        <v>100</v>
      </c>
      <c r="I5" s="53">
        <v>20</v>
      </c>
      <c r="J5" s="57">
        <v>150</v>
      </c>
      <c r="K5" s="55">
        <f t="shared" si="0"/>
        <v>3000</v>
      </c>
      <c r="L5" s="58">
        <f>(F5+G5)*I5</f>
        <v>2000</v>
      </c>
      <c r="M5" s="59">
        <f t="shared" ref="M5:M42" si="4">K5-L5</f>
        <v>1000</v>
      </c>
      <c r="N5" s="49">
        <f t="shared" si="1"/>
        <v>87010</v>
      </c>
      <c r="O5" s="49">
        <v>1000</v>
      </c>
      <c r="P5" s="49" t="str">
        <f t="shared" ref="P5:P42" si="5">IF(AND(K4&gt;5000, M4&gt;2000), "Great sales", "Average sales")</f>
        <v>Average sales</v>
      </c>
      <c r="Q5" s="49" t="str">
        <f t="shared" ref="Q5:Q42" si="6">IF(OR(K5&gt;1200, M5&gt;=1000), "Better result", "Need Improvement")</f>
        <v>Better result</v>
      </c>
      <c r="R5" s="49" t="str">
        <f t="shared" ref="R5:R42" si="7">IF(OR(M5&gt;1000,K5&gt;2000,K5&lt;3000,I5&gt;10),"NiceDeal","Average Deal")</f>
        <v>NiceDeal</v>
      </c>
      <c r="S5" s="50">
        <f t="shared" si="2"/>
        <v>16350</v>
      </c>
      <c r="T5" s="50">
        <f t="shared" si="3"/>
        <v>6876.1904761904761</v>
      </c>
      <c r="U5" s="49"/>
      <c r="V5" s="49"/>
      <c r="W5" s="49"/>
    </row>
    <row r="6" spans="1:23" s="51" customFormat="1" x14ac:dyDescent="0.55000000000000004">
      <c r="B6" s="52" t="s">
        <v>59</v>
      </c>
      <c r="C6" s="52" t="s">
        <v>15</v>
      </c>
      <c r="D6" s="53">
        <v>32</v>
      </c>
      <c r="E6" s="52" t="s">
        <v>6</v>
      </c>
      <c r="F6" s="54">
        <v>80</v>
      </c>
      <c r="G6" s="55">
        <v>20</v>
      </c>
      <c r="H6" s="56">
        <v>100</v>
      </c>
      <c r="I6" s="53">
        <v>30</v>
      </c>
      <c r="J6" s="57">
        <v>150</v>
      </c>
      <c r="K6" s="55">
        <f t="shared" si="0"/>
        <v>4500</v>
      </c>
      <c r="L6" s="58">
        <f t="shared" ref="L6:L42" si="8">(F6+G6)*I6</f>
        <v>3000</v>
      </c>
      <c r="M6" s="59">
        <f t="shared" si="4"/>
        <v>1500</v>
      </c>
      <c r="N6" s="49">
        <f t="shared" si="1"/>
        <v>86010</v>
      </c>
      <c r="O6" s="49">
        <v>1500</v>
      </c>
      <c r="P6" s="49" t="str">
        <f t="shared" si="5"/>
        <v>Average sales</v>
      </c>
      <c r="Q6" s="49" t="str">
        <f t="shared" si="6"/>
        <v>Better result</v>
      </c>
      <c r="R6" s="49" t="str">
        <f t="shared" si="7"/>
        <v>NiceDeal</v>
      </c>
      <c r="S6" s="50">
        <f t="shared" si="2"/>
        <v>15350</v>
      </c>
      <c r="T6" s="50">
        <f t="shared" si="3"/>
        <v>7070</v>
      </c>
      <c r="U6" s="49"/>
      <c r="V6" s="49"/>
      <c r="W6" s="49"/>
    </row>
    <row r="7" spans="1:23" s="51" customFormat="1" x14ac:dyDescent="0.55000000000000004">
      <c r="B7" s="52" t="s">
        <v>60</v>
      </c>
      <c r="C7" s="52" t="s">
        <v>15</v>
      </c>
      <c r="D7" s="53">
        <v>32</v>
      </c>
      <c r="E7" s="52" t="s">
        <v>7</v>
      </c>
      <c r="F7" s="54">
        <v>80</v>
      </c>
      <c r="G7" s="55">
        <v>20</v>
      </c>
      <c r="H7" s="56">
        <v>100</v>
      </c>
      <c r="I7" s="53">
        <v>40</v>
      </c>
      <c r="J7" s="57">
        <v>150</v>
      </c>
      <c r="K7" s="55">
        <f t="shared" si="0"/>
        <v>6000</v>
      </c>
      <c r="L7" s="58">
        <f t="shared" si="8"/>
        <v>4000</v>
      </c>
      <c r="M7" s="59">
        <f t="shared" si="4"/>
        <v>2000</v>
      </c>
      <c r="N7" s="49">
        <f t="shared" si="1"/>
        <v>84510</v>
      </c>
      <c r="O7" s="49">
        <v>2000</v>
      </c>
      <c r="P7" s="49" t="str">
        <f t="shared" si="5"/>
        <v>Average sales</v>
      </c>
      <c r="Q7" s="49" t="str">
        <f t="shared" si="6"/>
        <v>Better result</v>
      </c>
      <c r="R7" s="49" t="str">
        <f t="shared" si="7"/>
        <v>NiceDeal</v>
      </c>
      <c r="S7" s="50">
        <f t="shared" si="2"/>
        <v>15350</v>
      </c>
      <c r="T7" s="50">
        <f t="shared" si="3"/>
        <v>7205.2631578947367</v>
      </c>
      <c r="U7" s="49"/>
      <c r="V7" s="49"/>
      <c r="W7" s="49"/>
    </row>
    <row r="8" spans="1:23" s="51" customFormat="1" x14ac:dyDescent="0.55000000000000004">
      <c r="B8" s="52" t="s">
        <v>61</v>
      </c>
      <c r="C8" s="52" t="s">
        <v>15</v>
      </c>
      <c r="D8" s="53">
        <v>32</v>
      </c>
      <c r="E8" s="52" t="s">
        <v>8</v>
      </c>
      <c r="F8" s="54">
        <v>80</v>
      </c>
      <c r="G8" s="55">
        <v>20</v>
      </c>
      <c r="H8" s="56">
        <v>100</v>
      </c>
      <c r="I8" s="53">
        <v>34</v>
      </c>
      <c r="J8" s="57">
        <v>150</v>
      </c>
      <c r="K8" s="55">
        <f t="shared" si="0"/>
        <v>5100</v>
      </c>
      <c r="L8" s="58">
        <f t="shared" si="8"/>
        <v>3400</v>
      </c>
      <c r="M8" s="59">
        <f t="shared" si="4"/>
        <v>1700</v>
      </c>
      <c r="N8" s="49">
        <f t="shared" si="1"/>
        <v>82510</v>
      </c>
      <c r="O8" s="49">
        <v>1700</v>
      </c>
      <c r="P8" s="49" t="str">
        <f t="shared" si="5"/>
        <v>Average sales</v>
      </c>
      <c r="Q8" s="49" t="str">
        <f t="shared" si="6"/>
        <v>Better result</v>
      </c>
      <c r="R8" s="49" t="str">
        <f t="shared" si="7"/>
        <v>NiceDeal</v>
      </c>
      <c r="S8" s="50">
        <f t="shared" si="2"/>
        <v>15350</v>
      </c>
      <c r="T8" s="50">
        <f t="shared" si="3"/>
        <v>7272.2222222222226</v>
      </c>
      <c r="U8" s="49"/>
      <c r="V8" s="49"/>
      <c r="W8" s="49"/>
    </row>
    <row r="9" spans="1:23" s="51" customFormat="1" x14ac:dyDescent="0.55000000000000004">
      <c r="B9" s="52" t="s">
        <v>62</v>
      </c>
      <c r="C9" s="52" t="s">
        <v>15</v>
      </c>
      <c r="D9" s="53">
        <v>32</v>
      </c>
      <c r="E9" s="52" t="s">
        <v>9</v>
      </c>
      <c r="F9" s="54">
        <v>80</v>
      </c>
      <c r="G9" s="55">
        <v>20</v>
      </c>
      <c r="H9" s="56">
        <v>100</v>
      </c>
      <c r="I9" s="53">
        <v>54</v>
      </c>
      <c r="J9" s="57">
        <v>150</v>
      </c>
      <c r="K9" s="55">
        <f t="shared" si="0"/>
        <v>8100</v>
      </c>
      <c r="L9" s="58">
        <f t="shared" si="8"/>
        <v>5400</v>
      </c>
      <c r="M9" s="59">
        <f t="shared" si="4"/>
        <v>2700</v>
      </c>
      <c r="N9" s="49">
        <f t="shared" si="1"/>
        <v>80810</v>
      </c>
      <c r="O9" s="49">
        <v>2700</v>
      </c>
      <c r="P9" s="49" t="str">
        <f t="shared" si="5"/>
        <v>Average sales</v>
      </c>
      <c r="Q9" s="49" t="str">
        <f t="shared" si="6"/>
        <v>Better result</v>
      </c>
      <c r="R9" s="49" t="str">
        <f t="shared" si="7"/>
        <v>NiceDeal</v>
      </c>
      <c r="S9" s="50">
        <f t="shared" si="2"/>
        <v>13650</v>
      </c>
      <c r="T9" s="50">
        <f t="shared" si="3"/>
        <v>7400</v>
      </c>
      <c r="U9" s="49"/>
      <c r="V9" s="49"/>
      <c r="W9" s="49"/>
    </row>
    <row r="10" spans="1:23" s="51" customFormat="1" x14ac:dyDescent="0.55000000000000004">
      <c r="B10" s="52" t="s">
        <v>63</v>
      </c>
      <c r="C10" s="52" t="s">
        <v>15</v>
      </c>
      <c r="D10" s="53">
        <v>32</v>
      </c>
      <c r="E10" s="52" t="s">
        <v>10</v>
      </c>
      <c r="F10" s="54">
        <v>80</v>
      </c>
      <c r="G10" s="55">
        <v>20</v>
      </c>
      <c r="H10" s="56">
        <v>100</v>
      </c>
      <c r="I10" s="53">
        <v>30</v>
      </c>
      <c r="J10" s="57">
        <v>150</v>
      </c>
      <c r="K10" s="55">
        <f t="shared" si="0"/>
        <v>4500</v>
      </c>
      <c r="L10" s="58">
        <f t="shared" si="8"/>
        <v>3000</v>
      </c>
      <c r="M10" s="59">
        <f t="shared" si="4"/>
        <v>1500</v>
      </c>
      <c r="N10" s="49">
        <f t="shared" si="1"/>
        <v>78110</v>
      </c>
      <c r="O10" s="49">
        <v>1500</v>
      </c>
      <c r="P10" s="49" t="str">
        <f t="shared" si="5"/>
        <v>Great sales</v>
      </c>
      <c r="Q10" s="49" t="str">
        <f t="shared" si="6"/>
        <v>Better result</v>
      </c>
      <c r="R10" s="49" t="str">
        <f t="shared" si="7"/>
        <v>NiceDeal</v>
      </c>
      <c r="S10" s="50">
        <f t="shared" si="2"/>
        <v>13650</v>
      </c>
      <c r="T10" s="50">
        <f t="shared" si="3"/>
        <v>6947.0588235294117</v>
      </c>
      <c r="U10" s="49"/>
      <c r="V10" s="49"/>
      <c r="W10" s="49"/>
    </row>
    <row r="11" spans="1:23" s="51" customFormat="1" x14ac:dyDescent="0.55000000000000004">
      <c r="B11" s="52" t="s">
        <v>64</v>
      </c>
      <c r="C11" s="52" t="s">
        <v>15</v>
      </c>
      <c r="D11" s="53">
        <v>32</v>
      </c>
      <c r="E11" s="52" t="s">
        <v>11</v>
      </c>
      <c r="F11" s="54">
        <v>80</v>
      </c>
      <c r="G11" s="55">
        <v>20</v>
      </c>
      <c r="H11" s="56">
        <v>100</v>
      </c>
      <c r="I11" s="53">
        <v>10</v>
      </c>
      <c r="J11" s="57">
        <v>150</v>
      </c>
      <c r="K11" s="55">
        <f t="shared" si="0"/>
        <v>1500</v>
      </c>
      <c r="L11" s="58">
        <f t="shared" si="8"/>
        <v>1000</v>
      </c>
      <c r="M11" s="59">
        <f t="shared" si="4"/>
        <v>500</v>
      </c>
      <c r="N11" s="49">
        <f t="shared" ref="N11:N42" si="9">SUM(
  SUMIFS(M11:M51, D11:D51, 32),
  SUMIFS(M11:M51, D11:D51, 34),
  SUMIFS(M11:M51, D11:D51, 42)
)</f>
        <v>80360</v>
      </c>
      <c r="O11" s="49">
        <v>500</v>
      </c>
      <c r="P11" s="49" t="str">
        <f t="shared" si="5"/>
        <v>Average sales</v>
      </c>
      <c r="Q11" s="49" t="str">
        <f t="shared" si="6"/>
        <v>Better result</v>
      </c>
      <c r="R11" s="49" t="str">
        <f t="shared" si="7"/>
        <v>NiceDeal</v>
      </c>
      <c r="S11" s="50">
        <f t="shared" ref="S11:S42" si="10">SUMIFS(M11:M51,E11:E51,"Ra*")</f>
        <v>13650</v>
      </c>
      <c r="T11" s="50">
        <f t="shared" ref="T11:T42" si="11">AVERAGEIFS(K11:K51,I11:I51,"&gt;15",M11:M51,"&gt;900")</f>
        <v>7270.588235294118</v>
      </c>
      <c r="U11" s="49"/>
      <c r="V11" s="49"/>
      <c r="W11" s="49"/>
    </row>
    <row r="12" spans="1:23" s="51" customFormat="1" x14ac:dyDescent="0.55000000000000004">
      <c r="B12" s="52" t="s">
        <v>65</v>
      </c>
      <c r="C12" s="52" t="s">
        <v>15</v>
      </c>
      <c r="D12" s="53">
        <v>32</v>
      </c>
      <c r="E12" s="52" t="s">
        <v>12</v>
      </c>
      <c r="F12" s="54">
        <v>80</v>
      </c>
      <c r="G12" s="55">
        <v>20</v>
      </c>
      <c r="H12" s="56">
        <v>100</v>
      </c>
      <c r="I12" s="53">
        <v>20</v>
      </c>
      <c r="J12" s="57">
        <v>150</v>
      </c>
      <c r="K12" s="55">
        <f t="shared" si="0"/>
        <v>3000</v>
      </c>
      <c r="L12" s="58">
        <f t="shared" si="8"/>
        <v>2000</v>
      </c>
      <c r="M12" s="59">
        <f t="shared" si="4"/>
        <v>1000</v>
      </c>
      <c r="N12" s="49">
        <f t="shared" si="9"/>
        <v>79860</v>
      </c>
      <c r="O12" s="49">
        <v>1000</v>
      </c>
      <c r="P12" s="49" t="str">
        <f t="shared" si="5"/>
        <v>Average sales</v>
      </c>
      <c r="Q12" s="49" t="str">
        <f t="shared" si="6"/>
        <v>Better result</v>
      </c>
      <c r="R12" s="49" t="str">
        <f t="shared" si="7"/>
        <v>NiceDeal</v>
      </c>
      <c r="S12" s="50">
        <f t="shared" si="10"/>
        <v>13650</v>
      </c>
      <c r="T12" s="50">
        <f t="shared" si="11"/>
        <v>7270.588235294118</v>
      </c>
      <c r="U12" s="49"/>
      <c r="V12" s="49"/>
      <c r="W12" s="49"/>
    </row>
    <row r="13" spans="1:23" s="51" customFormat="1" x14ac:dyDescent="0.55000000000000004">
      <c r="B13" s="52" t="s">
        <v>66</v>
      </c>
      <c r="C13" s="52" t="s">
        <v>15</v>
      </c>
      <c r="D13" s="53">
        <v>32</v>
      </c>
      <c r="E13" s="52" t="s">
        <v>13</v>
      </c>
      <c r="F13" s="54">
        <v>80</v>
      </c>
      <c r="G13" s="55">
        <v>20</v>
      </c>
      <c r="H13" s="56">
        <v>100</v>
      </c>
      <c r="I13" s="53">
        <v>25</v>
      </c>
      <c r="J13" s="57">
        <v>150</v>
      </c>
      <c r="K13" s="55">
        <f t="shared" si="0"/>
        <v>3750</v>
      </c>
      <c r="L13" s="58">
        <f t="shared" si="8"/>
        <v>2500</v>
      </c>
      <c r="M13" s="59">
        <f t="shared" si="4"/>
        <v>1250</v>
      </c>
      <c r="N13" s="49">
        <f t="shared" si="9"/>
        <v>78860</v>
      </c>
      <c r="O13" s="49">
        <v>1250</v>
      </c>
      <c r="P13" s="49" t="str">
        <f t="shared" si="5"/>
        <v>Average sales</v>
      </c>
      <c r="Q13" s="49" t="str">
        <f t="shared" si="6"/>
        <v>Better result</v>
      </c>
      <c r="R13" s="49" t="str">
        <f t="shared" si="7"/>
        <v>NiceDeal</v>
      </c>
      <c r="S13" s="50">
        <f t="shared" si="10"/>
        <v>13650</v>
      </c>
      <c r="T13" s="50">
        <f t="shared" si="11"/>
        <v>7537.5</v>
      </c>
      <c r="U13" s="49"/>
      <c r="V13" s="49"/>
      <c r="W13" s="49"/>
    </row>
    <row r="14" spans="1:23" s="51" customFormat="1" x14ac:dyDescent="0.55000000000000004">
      <c r="B14" s="60" t="s">
        <v>67</v>
      </c>
      <c r="C14" s="60" t="s">
        <v>16</v>
      </c>
      <c r="D14" s="61">
        <v>34</v>
      </c>
      <c r="E14" s="60" t="s">
        <v>17</v>
      </c>
      <c r="F14" s="62">
        <v>100</v>
      </c>
      <c r="G14" s="63">
        <v>30</v>
      </c>
      <c r="H14" s="63">
        <v>130</v>
      </c>
      <c r="I14" s="61">
        <v>10</v>
      </c>
      <c r="J14" s="64">
        <v>250</v>
      </c>
      <c r="K14" s="63">
        <f t="shared" si="0"/>
        <v>2500</v>
      </c>
      <c r="L14" s="58">
        <f t="shared" si="8"/>
        <v>1300</v>
      </c>
      <c r="M14" s="59">
        <f t="shared" si="4"/>
        <v>1200</v>
      </c>
      <c r="N14" s="49">
        <f t="shared" si="9"/>
        <v>77610</v>
      </c>
      <c r="O14" s="49">
        <v>1200</v>
      </c>
      <c r="P14" s="49" t="str">
        <f t="shared" si="5"/>
        <v>Average sales</v>
      </c>
      <c r="Q14" s="49" t="str">
        <f t="shared" si="6"/>
        <v>Better result</v>
      </c>
      <c r="R14" s="49" t="str">
        <f t="shared" si="7"/>
        <v>NiceDeal</v>
      </c>
      <c r="S14" s="50">
        <f t="shared" si="10"/>
        <v>13650</v>
      </c>
      <c r="T14" s="50">
        <f t="shared" si="11"/>
        <v>7790</v>
      </c>
      <c r="U14" s="49"/>
      <c r="V14" s="49"/>
      <c r="W14" s="49"/>
    </row>
    <row r="15" spans="1:23" s="51" customFormat="1" x14ac:dyDescent="0.55000000000000004">
      <c r="B15" s="52" t="s">
        <v>68</v>
      </c>
      <c r="C15" s="52" t="s">
        <v>16</v>
      </c>
      <c r="D15" s="53">
        <v>34</v>
      </c>
      <c r="E15" s="52" t="s">
        <v>18</v>
      </c>
      <c r="F15" s="62">
        <v>100</v>
      </c>
      <c r="G15" s="55">
        <v>30</v>
      </c>
      <c r="H15" s="63">
        <v>130</v>
      </c>
      <c r="I15" s="53">
        <v>5</v>
      </c>
      <c r="J15" s="57">
        <v>250</v>
      </c>
      <c r="K15" s="55">
        <f t="shared" si="0"/>
        <v>1250</v>
      </c>
      <c r="L15" s="58">
        <f t="shared" si="8"/>
        <v>650</v>
      </c>
      <c r="M15" s="59">
        <f t="shared" si="4"/>
        <v>600</v>
      </c>
      <c r="N15" s="49">
        <f t="shared" si="9"/>
        <v>76410</v>
      </c>
      <c r="O15" s="49">
        <v>600</v>
      </c>
      <c r="P15" s="49" t="str">
        <f t="shared" si="5"/>
        <v>Average sales</v>
      </c>
      <c r="Q15" s="49" t="str">
        <f t="shared" si="6"/>
        <v>Better result</v>
      </c>
      <c r="R15" s="49" t="str">
        <f t="shared" si="7"/>
        <v>NiceDeal</v>
      </c>
      <c r="S15" s="50">
        <f t="shared" si="10"/>
        <v>13650</v>
      </c>
      <c r="T15" s="50">
        <f t="shared" si="11"/>
        <v>7790</v>
      </c>
      <c r="U15" s="49"/>
      <c r="V15" s="49"/>
      <c r="W15" s="49"/>
    </row>
    <row r="16" spans="1:23" s="51" customFormat="1" x14ac:dyDescent="0.55000000000000004">
      <c r="B16" s="52" t="s">
        <v>69</v>
      </c>
      <c r="C16" s="52" t="s">
        <v>16</v>
      </c>
      <c r="D16" s="53">
        <v>34</v>
      </c>
      <c r="E16" s="52" t="s">
        <v>19</v>
      </c>
      <c r="F16" s="62">
        <v>100</v>
      </c>
      <c r="G16" s="55">
        <v>30</v>
      </c>
      <c r="H16" s="63">
        <v>130</v>
      </c>
      <c r="I16" s="53">
        <v>15</v>
      </c>
      <c r="J16" s="57">
        <v>250</v>
      </c>
      <c r="K16" s="55">
        <f t="shared" si="0"/>
        <v>3750</v>
      </c>
      <c r="L16" s="58">
        <f t="shared" si="8"/>
        <v>1950</v>
      </c>
      <c r="M16" s="59">
        <f t="shared" si="4"/>
        <v>1800</v>
      </c>
      <c r="N16" s="49">
        <f t="shared" si="9"/>
        <v>75810</v>
      </c>
      <c r="O16" s="49">
        <v>1800</v>
      </c>
      <c r="P16" s="49" t="str">
        <f t="shared" si="5"/>
        <v>Average sales</v>
      </c>
      <c r="Q16" s="49" t="str">
        <f t="shared" si="6"/>
        <v>Better result</v>
      </c>
      <c r="R16" s="49" t="str">
        <f t="shared" si="7"/>
        <v>NiceDeal</v>
      </c>
      <c r="S16" s="50">
        <f t="shared" si="10"/>
        <v>13650</v>
      </c>
      <c r="T16" s="50">
        <f t="shared" si="11"/>
        <v>7790</v>
      </c>
      <c r="U16" s="49"/>
      <c r="V16" s="49"/>
      <c r="W16" s="49"/>
    </row>
    <row r="17" spans="2:23" s="51" customFormat="1" x14ac:dyDescent="0.55000000000000004">
      <c r="B17" s="52" t="s">
        <v>70</v>
      </c>
      <c r="C17" s="52" t="s">
        <v>16</v>
      </c>
      <c r="D17" s="53">
        <v>34</v>
      </c>
      <c r="E17" s="52" t="s">
        <v>20</v>
      </c>
      <c r="F17" s="62">
        <v>100</v>
      </c>
      <c r="G17" s="55">
        <v>30</v>
      </c>
      <c r="H17" s="63">
        <v>130</v>
      </c>
      <c r="I17" s="53">
        <v>15</v>
      </c>
      <c r="J17" s="57">
        <v>250</v>
      </c>
      <c r="K17" s="55">
        <f t="shared" si="0"/>
        <v>3750</v>
      </c>
      <c r="L17" s="58">
        <f t="shared" si="8"/>
        <v>1950</v>
      </c>
      <c r="M17" s="59">
        <f t="shared" si="4"/>
        <v>1800</v>
      </c>
      <c r="N17" s="49">
        <f t="shared" si="9"/>
        <v>74010</v>
      </c>
      <c r="O17" s="49">
        <v>1800</v>
      </c>
      <c r="P17" s="49" t="str">
        <f t="shared" si="5"/>
        <v>Average sales</v>
      </c>
      <c r="Q17" s="49" t="str">
        <f t="shared" si="6"/>
        <v>Better result</v>
      </c>
      <c r="R17" s="49" t="str">
        <f t="shared" si="7"/>
        <v>NiceDeal</v>
      </c>
      <c r="S17" s="50">
        <f t="shared" si="10"/>
        <v>11850</v>
      </c>
      <c r="T17" s="50">
        <f t="shared" si="11"/>
        <v>7790</v>
      </c>
      <c r="U17" s="49"/>
      <c r="V17" s="49"/>
      <c r="W17" s="49"/>
    </row>
    <row r="18" spans="2:23" s="51" customFormat="1" x14ac:dyDescent="0.55000000000000004">
      <c r="B18" s="52" t="s">
        <v>71</v>
      </c>
      <c r="C18" s="52" t="s">
        <v>16</v>
      </c>
      <c r="D18" s="53">
        <v>34</v>
      </c>
      <c r="E18" s="52" t="s">
        <v>21</v>
      </c>
      <c r="F18" s="62">
        <v>100</v>
      </c>
      <c r="G18" s="55">
        <v>30</v>
      </c>
      <c r="H18" s="63">
        <v>130</v>
      </c>
      <c r="I18" s="53">
        <v>15</v>
      </c>
      <c r="J18" s="57">
        <v>250</v>
      </c>
      <c r="K18" s="55">
        <f t="shared" si="0"/>
        <v>3750</v>
      </c>
      <c r="L18" s="58">
        <f t="shared" si="8"/>
        <v>1950</v>
      </c>
      <c r="M18" s="59">
        <f t="shared" si="4"/>
        <v>1800</v>
      </c>
      <c r="N18" s="49">
        <f t="shared" si="9"/>
        <v>72210</v>
      </c>
      <c r="O18" s="49">
        <v>1800</v>
      </c>
      <c r="P18" s="49" t="str">
        <f t="shared" si="5"/>
        <v>Average sales</v>
      </c>
      <c r="Q18" s="49" t="str">
        <f t="shared" si="6"/>
        <v>Better result</v>
      </c>
      <c r="R18" s="49" t="str">
        <f t="shared" si="7"/>
        <v>NiceDeal</v>
      </c>
      <c r="S18" s="50">
        <f t="shared" si="10"/>
        <v>11850</v>
      </c>
      <c r="T18" s="50">
        <f t="shared" si="11"/>
        <v>7790</v>
      </c>
      <c r="U18" s="49"/>
      <c r="V18" s="49"/>
      <c r="W18" s="49"/>
    </row>
    <row r="19" spans="2:23" s="51" customFormat="1" x14ac:dyDescent="0.55000000000000004">
      <c r="B19" s="52" t="s">
        <v>72</v>
      </c>
      <c r="C19" s="52" t="s">
        <v>16</v>
      </c>
      <c r="D19" s="53">
        <v>34</v>
      </c>
      <c r="E19" s="52" t="s">
        <v>8</v>
      </c>
      <c r="F19" s="62">
        <v>100</v>
      </c>
      <c r="G19" s="55">
        <v>30</v>
      </c>
      <c r="H19" s="63">
        <v>130</v>
      </c>
      <c r="I19" s="53">
        <v>20</v>
      </c>
      <c r="J19" s="57">
        <v>250</v>
      </c>
      <c r="K19" s="55">
        <f t="shared" si="0"/>
        <v>5000</v>
      </c>
      <c r="L19" s="58">
        <f t="shared" si="8"/>
        <v>2600</v>
      </c>
      <c r="M19" s="59">
        <f t="shared" si="4"/>
        <v>2400</v>
      </c>
      <c r="N19" s="49">
        <f t="shared" si="9"/>
        <v>70410</v>
      </c>
      <c r="O19" s="49">
        <v>2400</v>
      </c>
      <c r="P19" s="49" t="str">
        <f t="shared" si="5"/>
        <v>Average sales</v>
      </c>
      <c r="Q19" s="49" t="str">
        <f t="shared" si="6"/>
        <v>Better result</v>
      </c>
      <c r="R19" s="49" t="str">
        <f t="shared" si="7"/>
        <v>NiceDeal</v>
      </c>
      <c r="S19" s="50">
        <f t="shared" si="10"/>
        <v>11850</v>
      </c>
      <c r="T19" s="50">
        <f t="shared" si="11"/>
        <v>7790</v>
      </c>
      <c r="U19" s="49"/>
      <c r="V19" s="49"/>
      <c r="W19" s="49"/>
    </row>
    <row r="20" spans="2:23" s="51" customFormat="1" x14ac:dyDescent="0.55000000000000004">
      <c r="B20" s="52" t="s">
        <v>73</v>
      </c>
      <c r="C20" s="52" t="s">
        <v>16</v>
      </c>
      <c r="D20" s="53">
        <v>34</v>
      </c>
      <c r="E20" s="52" t="s">
        <v>22</v>
      </c>
      <c r="F20" s="62">
        <v>100</v>
      </c>
      <c r="G20" s="55">
        <v>30</v>
      </c>
      <c r="H20" s="63">
        <v>130</v>
      </c>
      <c r="I20" s="53">
        <v>30</v>
      </c>
      <c r="J20" s="57">
        <v>250</v>
      </c>
      <c r="K20" s="55">
        <f t="shared" si="0"/>
        <v>7500</v>
      </c>
      <c r="L20" s="58">
        <f t="shared" si="8"/>
        <v>3900</v>
      </c>
      <c r="M20" s="59">
        <f t="shared" si="4"/>
        <v>3600</v>
      </c>
      <c r="N20" s="49">
        <f t="shared" si="9"/>
        <v>68010</v>
      </c>
      <c r="O20" s="49">
        <v>3600</v>
      </c>
      <c r="P20" s="49" t="str">
        <f t="shared" si="5"/>
        <v>Average sales</v>
      </c>
      <c r="Q20" s="49" t="str">
        <f t="shared" si="6"/>
        <v>Better result</v>
      </c>
      <c r="R20" s="49" t="str">
        <f t="shared" si="7"/>
        <v>NiceDeal</v>
      </c>
      <c r="S20" s="50">
        <f t="shared" si="10"/>
        <v>9450</v>
      </c>
      <c r="T20" s="50">
        <f t="shared" si="11"/>
        <v>7989.2857142857147</v>
      </c>
      <c r="U20" s="49"/>
      <c r="V20" s="49"/>
      <c r="W20" s="49"/>
    </row>
    <row r="21" spans="2:23" s="51" customFormat="1" x14ac:dyDescent="0.55000000000000004">
      <c r="B21" s="52" t="s">
        <v>74</v>
      </c>
      <c r="C21" s="52" t="s">
        <v>16</v>
      </c>
      <c r="D21" s="53">
        <v>34</v>
      </c>
      <c r="E21" s="52" t="s">
        <v>23</v>
      </c>
      <c r="F21" s="62">
        <v>100</v>
      </c>
      <c r="G21" s="55">
        <v>30</v>
      </c>
      <c r="H21" s="63">
        <v>130</v>
      </c>
      <c r="I21" s="53">
        <v>15</v>
      </c>
      <c r="J21" s="57">
        <v>250</v>
      </c>
      <c r="K21" s="55">
        <f t="shared" si="0"/>
        <v>3750</v>
      </c>
      <c r="L21" s="58">
        <f t="shared" si="8"/>
        <v>1950</v>
      </c>
      <c r="M21" s="59">
        <f t="shared" si="4"/>
        <v>1800</v>
      </c>
      <c r="N21" s="49">
        <f t="shared" si="9"/>
        <v>64410</v>
      </c>
      <c r="O21" s="49">
        <v>1800</v>
      </c>
      <c r="P21" s="49" t="str">
        <f t="shared" si="5"/>
        <v>Great sales</v>
      </c>
      <c r="Q21" s="49" t="str">
        <f t="shared" si="6"/>
        <v>Better result</v>
      </c>
      <c r="R21" s="49" t="str">
        <f t="shared" si="7"/>
        <v>NiceDeal</v>
      </c>
      <c r="S21" s="50">
        <f t="shared" si="10"/>
        <v>9450</v>
      </c>
      <c r="T21" s="50">
        <f t="shared" si="11"/>
        <v>8026.9230769230771</v>
      </c>
      <c r="U21" s="49"/>
      <c r="V21" s="49"/>
      <c r="W21" s="49"/>
    </row>
    <row r="22" spans="2:23" s="51" customFormat="1" x14ac:dyDescent="0.55000000000000004">
      <c r="B22" s="52" t="s">
        <v>75</v>
      </c>
      <c r="C22" s="52" t="s">
        <v>16</v>
      </c>
      <c r="D22" s="53">
        <v>34</v>
      </c>
      <c r="E22" s="52" t="s">
        <v>24</v>
      </c>
      <c r="F22" s="62">
        <v>100</v>
      </c>
      <c r="G22" s="55">
        <v>30</v>
      </c>
      <c r="H22" s="63">
        <v>130</v>
      </c>
      <c r="I22" s="53">
        <v>20</v>
      </c>
      <c r="J22" s="57">
        <v>250</v>
      </c>
      <c r="K22" s="55">
        <f t="shared" si="0"/>
        <v>5000</v>
      </c>
      <c r="L22" s="58">
        <f t="shared" si="8"/>
        <v>2600</v>
      </c>
      <c r="M22" s="59">
        <f t="shared" si="4"/>
        <v>2400</v>
      </c>
      <c r="N22" s="49">
        <f t="shared" si="9"/>
        <v>62610</v>
      </c>
      <c r="O22" s="49">
        <v>2400</v>
      </c>
      <c r="P22" s="49" t="str">
        <f t="shared" si="5"/>
        <v>Average sales</v>
      </c>
      <c r="Q22" s="49" t="str">
        <f t="shared" si="6"/>
        <v>Better result</v>
      </c>
      <c r="R22" s="49" t="str">
        <f t="shared" si="7"/>
        <v>NiceDeal</v>
      </c>
      <c r="S22" s="50">
        <f t="shared" si="10"/>
        <v>9450</v>
      </c>
      <c r="T22" s="50">
        <f t="shared" si="11"/>
        <v>8026.9230769230771</v>
      </c>
      <c r="U22" s="49"/>
      <c r="V22" s="49"/>
      <c r="W22" s="49"/>
    </row>
    <row r="23" spans="2:23" s="51" customFormat="1" x14ac:dyDescent="0.55000000000000004">
      <c r="B23" s="52" t="s">
        <v>76</v>
      </c>
      <c r="C23" s="52" t="s">
        <v>16</v>
      </c>
      <c r="D23" s="53">
        <v>34</v>
      </c>
      <c r="E23" s="52" t="s">
        <v>25</v>
      </c>
      <c r="F23" s="62">
        <v>100</v>
      </c>
      <c r="G23" s="55">
        <v>30</v>
      </c>
      <c r="H23" s="63">
        <v>130</v>
      </c>
      <c r="I23" s="53">
        <v>23</v>
      </c>
      <c r="J23" s="57">
        <v>250</v>
      </c>
      <c r="K23" s="55">
        <f t="shared" si="0"/>
        <v>5750</v>
      </c>
      <c r="L23" s="58">
        <f t="shared" si="8"/>
        <v>2990</v>
      </c>
      <c r="M23" s="59">
        <f t="shared" si="4"/>
        <v>2760</v>
      </c>
      <c r="N23" s="49">
        <f t="shared" si="9"/>
        <v>60210</v>
      </c>
      <c r="O23" s="49">
        <v>2760</v>
      </c>
      <c r="P23" s="49" t="str">
        <f t="shared" si="5"/>
        <v>Average sales</v>
      </c>
      <c r="Q23" s="49" t="str">
        <f t="shared" si="6"/>
        <v>Better result</v>
      </c>
      <c r="R23" s="49" t="str">
        <f t="shared" si="7"/>
        <v>NiceDeal</v>
      </c>
      <c r="S23" s="50">
        <f t="shared" si="10"/>
        <v>9450</v>
      </c>
      <c r="T23" s="50">
        <f t="shared" si="11"/>
        <v>8279.1666666666661</v>
      </c>
      <c r="U23" s="49"/>
      <c r="V23" s="49"/>
      <c r="W23" s="49"/>
    </row>
    <row r="24" spans="2:23" s="51" customFormat="1" x14ac:dyDescent="0.55000000000000004">
      <c r="B24" s="65" t="s">
        <v>77</v>
      </c>
      <c r="C24" s="65" t="s">
        <v>26</v>
      </c>
      <c r="D24" s="66">
        <v>42</v>
      </c>
      <c r="E24" s="65" t="s">
        <v>27</v>
      </c>
      <c r="F24" s="67">
        <v>200</v>
      </c>
      <c r="G24" s="68">
        <v>50</v>
      </c>
      <c r="H24" s="68">
        <v>250</v>
      </c>
      <c r="I24" s="66">
        <v>15</v>
      </c>
      <c r="J24" s="69">
        <v>400</v>
      </c>
      <c r="K24" s="68">
        <f t="shared" si="0"/>
        <v>6000</v>
      </c>
      <c r="L24" s="58">
        <f t="shared" si="8"/>
        <v>3750</v>
      </c>
      <c r="M24" s="59">
        <f t="shared" si="4"/>
        <v>2250</v>
      </c>
      <c r="N24" s="49">
        <f t="shared" si="9"/>
        <v>57450</v>
      </c>
      <c r="O24" s="49">
        <v>2250</v>
      </c>
      <c r="P24" s="49" t="str">
        <f t="shared" si="5"/>
        <v>Great sales</v>
      </c>
      <c r="Q24" s="49" t="str">
        <f t="shared" si="6"/>
        <v>Better result</v>
      </c>
      <c r="R24" s="49" t="str">
        <f t="shared" si="7"/>
        <v>NiceDeal</v>
      </c>
      <c r="S24" s="50">
        <f t="shared" si="10"/>
        <v>9450</v>
      </c>
      <c r="T24" s="50">
        <f t="shared" si="11"/>
        <v>8509.0909090909099</v>
      </c>
      <c r="U24" s="49"/>
      <c r="V24" s="49"/>
      <c r="W24" s="49"/>
    </row>
    <row r="25" spans="2:23" s="51" customFormat="1" x14ac:dyDescent="0.55000000000000004">
      <c r="B25" s="52" t="s">
        <v>78</v>
      </c>
      <c r="C25" s="52" t="s">
        <v>26</v>
      </c>
      <c r="D25" s="53">
        <v>42</v>
      </c>
      <c r="E25" s="52" t="s">
        <v>28</v>
      </c>
      <c r="F25" s="67">
        <v>200</v>
      </c>
      <c r="G25" s="55">
        <v>50</v>
      </c>
      <c r="H25" s="68">
        <v>250</v>
      </c>
      <c r="I25" s="53">
        <v>15</v>
      </c>
      <c r="J25" s="57">
        <v>400</v>
      </c>
      <c r="K25" s="55">
        <f t="shared" si="0"/>
        <v>6000</v>
      </c>
      <c r="L25" s="58">
        <f t="shared" si="8"/>
        <v>3750</v>
      </c>
      <c r="M25" s="59">
        <f t="shared" si="4"/>
        <v>2250</v>
      </c>
      <c r="N25" s="49">
        <f t="shared" si="9"/>
        <v>55200</v>
      </c>
      <c r="O25" s="49">
        <v>2250</v>
      </c>
      <c r="P25" s="49" t="str">
        <f t="shared" si="5"/>
        <v>Great sales</v>
      </c>
      <c r="Q25" s="49" t="str">
        <f t="shared" si="6"/>
        <v>Better result</v>
      </c>
      <c r="R25" s="49" t="str">
        <f t="shared" si="7"/>
        <v>NiceDeal</v>
      </c>
      <c r="S25" s="50">
        <f t="shared" si="10"/>
        <v>9450</v>
      </c>
      <c r="T25" s="50">
        <f t="shared" si="11"/>
        <v>8509.0909090909099</v>
      </c>
      <c r="U25" s="49"/>
      <c r="V25" s="49"/>
      <c r="W25" s="49"/>
    </row>
    <row r="26" spans="2:23" s="51" customFormat="1" x14ac:dyDescent="0.55000000000000004">
      <c r="B26" s="52" t="s">
        <v>79</v>
      </c>
      <c r="C26" s="52" t="s">
        <v>26</v>
      </c>
      <c r="D26" s="53">
        <v>42</v>
      </c>
      <c r="E26" s="52" t="s">
        <v>29</v>
      </c>
      <c r="F26" s="67">
        <v>200</v>
      </c>
      <c r="G26" s="55">
        <v>50</v>
      </c>
      <c r="H26" s="68">
        <v>250</v>
      </c>
      <c r="I26" s="53">
        <v>20</v>
      </c>
      <c r="J26" s="57">
        <v>400</v>
      </c>
      <c r="K26" s="55">
        <f t="shared" si="0"/>
        <v>8000</v>
      </c>
      <c r="L26" s="58">
        <f t="shared" si="8"/>
        <v>5000</v>
      </c>
      <c r="M26" s="59">
        <f t="shared" si="4"/>
        <v>3000</v>
      </c>
      <c r="N26" s="49">
        <f t="shared" si="9"/>
        <v>52950</v>
      </c>
      <c r="O26" s="49">
        <v>3000</v>
      </c>
      <c r="P26" s="49" t="str">
        <f t="shared" si="5"/>
        <v>Great sales</v>
      </c>
      <c r="Q26" s="49" t="str">
        <f t="shared" si="6"/>
        <v>Better result</v>
      </c>
      <c r="R26" s="49" t="str">
        <f t="shared" si="7"/>
        <v>NiceDeal</v>
      </c>
      <c r="S26" s="50">
        <f t="shared" si="10"/>
        <v>9450</v>
      </c>
      <c r="T26" s="50">
        <f t="shared" si="11"/>
        <v>8509.0909090909099</v>
      </c>
      <c r="U26" s="49"/>
      <c r="V26" s="49"/>
      <c r="W26" s="49"/>
    </row>
    <row r="27" spans="2:23" s="51" customFormat="1" x14ac:dyDescent="0.55000000000000004">
      <c r="B27" s="52" t="s">
        <v>80</v>
      </c>
      <c r="C27" s="52" t="s">
        <v>26</v>
      </c>
      <c r="D27" s="53">
        <v>42</v>
      </c>
      <c r="E27" s="52" t="s">
        <v>30</v>
      </c>
      <c r="F27" s="67">
        <v>200</v>
      </c>
      <c r="G27" s="55">
        <v>50</v>
      </c>
      <c r="H27" s="68">
        <v>250</v>
      </c>
      <c r="I27" s="53">
        <v>25</v>
      </c>
      <c r="J27" s="57">
        <v>400</v>
      </c>
      <c r="K27" s="55">
        <f t="shared" si="0"/>
        <v>10000</v>
      </c>
      <c r="L27" s="58">
        <f t="shared" si="8"/>
        <v>6250</v>
      </c>
      <c r="M27" s="59">
        <f t="shared" si="4"/>
        <v>3750</v>
      </c>
      <c r="N27" s="49">
        <f t="shared" si="9"/>
        <v>49950</v>
      </c>
      <c r="O27" s="49">
        <v>3750</v>
      </c>
      <c r="P27" s="49" t="str">
        <f t="shared" si="5"/>
        <v>Great sales</v>
      </c>
      <c r="Q27" s="49" t="str">
        <f t="shared" si="6"/>
        <v>Better result</v>
      </c>
      <c r="R27" s="49" t="str">
        <f t="shared" si="7"/>
        <v>NiceDeal</v>
      </c>
      <c r="S27" s="50">
        <f t="shared" si="10"/>
        <v>9450</v>
      </c>
      <c r="T27" s="50">
        <f t="shared" si="11"/>
        <v>8560</v>
      </c>
      <c r="U27" s="49"/>
      <c r="V27" s="49"/>
      <c r="W27" s="49"/>
    </row>
    <row r="28" spans="2:23" s="51" customFormat="1" x14ac:dyDescent="0.55000000000000004">
      <c r="B28" s="52" t="s">
        <v>81</v>
      </c>
      <c r="C28" s="52" t="s">
        <v>26</v>
      </c>
      <c r="D28" s="53">
        <v>42</v>
      </c>
      <c r="E28" s="52" t="s">
        <v>31</v>
      </c>
      <c r="F28" s="67">
        <v>200</v>
      </c>
      <c r="G28" s="55">
        <v>50</v>
      </c>
      <c r="H28" s="68">
        <v>250</v>
      </c>
      <c r="I28" s="53">
        <v>30</v>
      </c>
      <c r="J28" s="57">
        <v>400</v>
      </c>
      <c r="K28" s="55">
        <f t="shared" si="0"/>
        <v>12000</v>
      </c>
      <c r="L28" s="58">
        <f t="shared" si="8"/>
        <v>7500</v>
      </c>
      <c r="M28" s="59">
        <f t="shared" si="4"/>
        <v>4500</v>
      </c>
      <c r="N28" s="49">
        <f t="shared" si="9"/>
        <v>46200</v>
      </c>
      <c r="O28" s="49">
        <v>4500</v>
      </c>
      <c r="P28" s="49" t="str">
        <f t="shared" si="5"/>
        <v>Great sales</v>
      </c>
      <c r="Q28" s="49" t="str">
        <f t="shared" si="6"/>
        <v>Better result</v>
      </c>
      <c r="R28" s="49" t="str">
        <f t="shared" si="7"/>
        <v>NiceDeal</v>
      </c>
      <c r="S28" s="50">
        <f t="shared" si="10"/>
        <v>9450</v>
      </c>
      <c r="T28" s="50">
        <f t="shared" si="11"/>
        <v>8400</v>
      </c>
      <c r="U28" s="49"/>
      <c r="V28" s="49"/>
      <c r="W28" s="49"/>
    </row>
    <row r="29" spans="2:23" s="51" customFormat="1" x14ac:dyDescent="0.55000000000000004">
      <c r="B29" s="52" t="s">
        <v>82</v>
      </c>
      <c r="C29" s="52" t="s">
        <v>26</v>
      </c>
      <c r="D29" s="53">
        <v>42</v>
      </c>
      <c r="E29" s="52" t="s">
        <v>32</v>
      </c>
      <c r="F29" s="67">
        <v>200</v>
      </c>
      <c r="G29" s="55">
        <v>50</v>
      </c>
      <c r="H29" s="68">
        <v>250</v>
      </c>
      <c r="I29" s="53">
        <v>35</v>
      </c>
      <c r="J29" s="57">
        <v>400</v>
      </c>
      <c r="K29" s="55">
        <f t="shared" si="0"/>
        <v>14000</v>
      </c>
      <c r="L29" s="58">
        <f t="shared" si="8"/>
        <v>8750</v>
      </c>
      <c r="M29" s="59">
        <f t="shared" si="4"/>
        <v>5250</v>
      </c>
      <c r="N29" s="49">
        <f t="shared" si="9"/>
        <v>41700</v>
      </c>
      <c r="O29" s="49">
        <v>5250</v>
      </c>
      <c r="P29" s="49" t="str">
        <f t="shared" si="5"/>
        <v>Great sales</v>
      </c>
      <c r="Q29" s="49" t="str">
        <f t="shared" si="6"/>
        <v>Better result</v>
      </c>
      <c r="R29" s="49" t="str">
        <f t="shared" si="7"/>
        <v>NiceDeal</v>
      </c>
      <c r="S29" s="50">
        <f t="shared" si="10"/>
        <v>9450</v>
      </c>
      <c r="T29" s="50">
        <f t="shared" si="11"/>
        <v>7950</v>
      </c>
      <c r="U29" s="49"/>
      <c r="V29" s="49"/>
      <c r="W29" s="49"/>
    </row>
    <row r="30" spans="2:23" s="51" customFormat="1" x14ac:dyDescent="0.55000000000000004">
      <c r="B30" s="52" t="s">
        <v>83</v>
      </c>
      <c r="C30" s="52" t="s">
        <v>26</v>
      </c>
      <c r="D30" s="53">
        <v>42</v>
      </c>
      <c r="E30" s="52" t="s">
        <v>33</v>
      </c>
      <c r="F30" s="67">
        <v>200</v>
      </c>
      <c r="G30" s="55">
        <v>50</v>
      </c>
      <c r="H30" s="68">
        <v>250</v>
      </c>
      <c r="I30" s="53">
        <v>16</v>
      </c>
      <c r="J30" s="57">
        <v>400</v>
      </c>
      <c r="K30" s="55">
        <f t="shared" si="0"/>
        <v>6400</v>
      </c>
      <c r="L30" s="58">
        <f t="shared" si="8"/>
        <v>4000</v>
      </c>
      <c r="M30" s="59">
        <f t="shared" si="4"/>
        <v>2400</v>
      </c>
      <c r="N30" s="49">
        <f t="shared" si="9"/>
        <v>36450</v>
      </c>
      <c r="O30" s="49">
        <v>2400</v>
      </c>
      <c r="P30" s="49" t="str">
        <f t="shared" si="5"/>
        <v>Great sales</v>
      </c>
      <c r="Q30" s="49" t="str">
        <f t="shared" si="6"/>
        <v>Better result</v>
      </c>
      <c r="R30" s="49" t="str">
        <f t="shared" si="7"/>
        <v>NiceDeal</v>
      </c>
      <c r="S30" s="50">
        <f t="shared" si="10"/>
        <v>9450</v>
      </c>
      <c r="T30" s="50">
        <f t="shared" si="11"/>
        <v>7085.7142857142853</v>
      </c>
      <c r="U30" s="49"/>
      <c r="V30" s="49"/>
      <c r="W30" s="49"/>
    </row>
    <row r="31" spans="2:23" s="51" customFormat="1" x14ac:dyDescent="0.55000000000000004">
      <c r="B31" s="52" t="s">
        <v>84</v>
      </c>
      <c r="C31" s="52" t="s">
        <v>26</v>
      </c>
      <c r="D31" s="53">
        <v>42</v>
      </c>
      <c r="E31" s="52" t="s">
        <v>5</v>
      </c>
      <c r="F31" s="67">
        <v>200</v>
      </c>
      <c r="G31" s="55">
        <v>50</v>
      </c>
      <c r="H31" s="68">
        <v>250</v>
      </c>
      <c r="I31" s="53">
        <v>17</v>
      </c>
      <c r="J31" s="57">
        <v>400</v>
      </c>
      <c r="K31" s="55">
        <f t="shared" si="0"/>
        <v>6800</v>
      </c>
      <c r="L31" s="58">
        <f t="shared" si="8"/>
        <v>4250</v>
      </c>
      <c r="M31" s="59">
        <f t="shared" si="4"/>
        <v>2550</v>
      </c>
      <c r="N31" s="49">
        <f t="shared" si="9"/>
        <v>34050</v>
      </c>
      <c r="O31" s="49">
        <v>2550</v>
      </c>
      <c r="P31" s="49" t="str">
        <f t="shared" si="5"/>
        <v>Great sales</v>
      </c>
      <c r="Q31" s="49" t="str">
        <f t="shared" si="6"/>
        <v>Better result</v>
      </c>
      <c r="R31" s="49" t="str">
        <f t="shared" si="7"/>
        <v>NiceDeal</v>
      </c>
      <c r="S31" s="50">
        <f t="shared" si="10"/>
        <v>7050</v>
      </c>
      <c r="T31" s="50">
        <f t="shared" si="11"/>
        <v>7200</v>
      </c>
      <c r="U31" s="49"/>
      <c r="V31" s="49"/>
      <c r="W31" s="49"/>
    </row>
    <row r="32" spans="2:23" s="51" customFormat="1" x14ac:dyDescent="0.55000000000000004">
      <c r="B32" s="52" t="s">
        <v>85</v>
      </c>
      <c r="C32" s="52" t="s">
        <v>26</v>
      </c>
      <c r="D32" s="53">
        <v>42</v>
      </c>
      <c r="E32" s="52" t="s">
        <v>6</v>
      </c>
      <c r="F32" s="67">
        <v>200</v>
      </c>
      <c r="G32" s="55">
        <v>50</v>
      </c>
      <c r="H32" s="68">
        <v>250</v>
      </c>
      <c r="I32" s="53">
        <v>20</v>
      </c>
      <c r="J32" s="57">
        <v>400</v>
      </c>
      <c r="K32" s="55">
        <f t="shared" si="0"/>
        <v>8000</v>
      </c>
      <c r="L32" s="58">
        <f t="shared" si="8"/>
        <v>5000</v>
      </c>
      <c r="M32" s="59">
        <f t="shared" si="4"/>
        <v>3000</v>
      </c>
      <c r="N32" s="49">
        <f t="shared" si="9"/>
        <v>31500</v>
      </c>
      <c r="O32" s="49">
        <v>3000</v>
      </c>
      <c r="P32" s="49" t="str">
        <f t="shared" si="5"/>
        <v>Great sales</v>
      </c>
      <c r="Q32" s="49" t="str">
        <f t="shared" si="6"/>
        <v>Better result</v>
      </c>
      <c r="R32" s="49" t="str">
        <f t="shared" si="7"/>
        <v>NiceDeal</v>
      </c>
      <c r="S32" s="50">
        <f t="shared" si="10"/>
        <v>4500</v>
      </c>
      <c r="T32" s="50">
        <f t="shared" si="11"/>
        <v>7280</v>
      </c>
      <c r="U32" s="49"/>
      <c r="V32" s="49"/>
      <c r="W32" s="49"/>
    </row>
    <row r="33" spans="1:23" s="51" customFormat="1" x14ac:dyDescent="0.55000000000000004">
      <c r="B33" s="52" t="s">
        <v>86</v>
      </c>
      <c r="C33" s="52" t="s">
        <v>26</v>
      </c>
      <c r="D33" s="53">
        <v>42</v>
      </c>
      <c r="E33" s="52" t="s">
        <v>7</v>
      </c>
      <c r="F33" s="67">
        <v>200</v>
      </c>
      <c r="G33" s="55">
        <v>50</v>
      </c>
      <c r="H33" s="68">
        <v>250</v>
      </c>
      <c r="I33" s="53">
        <v>25</v>
      </c>
      <c r="J33" s="57">
        <v>400</v>
      </c>
      <c r="K33" s="55">
        <f t="shared" si="0"/>
        <v>10000</v>
      </c>
      <c r="L33" s="58">
        <f t="shared" si="8"/>
        <v>6250</v>
      </c>
      <c r="M33" s="59">
        <f t="shared" si="4"/>
        <v>3750</v>
      </c>
      <c r="N33" s="49">
        <f t="shared" si="9"/>
        <v>28500</v>
      </c>
      <c r="O33" s="49">
        <v>3750</v>
      </c>
      <c r="P33" s="49" t="str">
        <f t="shared" si="5"/>
        <v>Great sales</v>
      </c>
      <c r="Q33" s="49" t="str">
        <f t="shared" si="6"/>
        <v>Better result</v>
      </c>
      <c r="R33" s="49" t="str">
        <f t="shared" si="7"/>
        <v>NiceDeal</v>
      </c>
      <c r="S33" s="50">
        <f t="shared" si="10"/>
        <v>4500</v>
      </c>
      <c r="T33" s="50">
        <f t="shared" si="11"/>
        <v>7100</v>
      </c>
      <c r="U33" s="49"/>
      <c r="V33" s="49"/>
      <c r="W33" s="49"/>
    </row>
    <row r="34" spans="1:23" s="51" customFormat="1" x14ac:dyDescent="0.55000000000000004">
      <c r="B34" s="52" t="s">
        <v>87</v>
      </c>
      <c r="C34" s="52" t="s">
        <v>26</v>
      </c>
      <c r="D34" s="53">
        <v>42</v>
      </c>
      <c r="E34" s="52" t="s">
        <v>8</v>
      </c>
      <c r="F34" s="67">
        <v>200</v>
      </c>
      <c r="G34" s="55">
        <v>50</v>
      </c>
      <c r="H34" s="68">
        <v>250</v>
      </c>
      <c r="I34" s="53">
        <v>15</v>
      </c>
      <c r="J34" s="57">
        <v>400</v>
      </c>
      <c r="K34" s="55">
        <f t="shared" si="0"/>
        <v>6000</v>
      </c>
      <c r="L34" s="58">
        <f t="shared" si="8"/>
        <v>3750</v>
      </c>
      <c r="M34" s="59">
        <f t="shared" si="4"/>
        <v>2250</v>
      </c>
      <c r="N34" s="49">
        <f t="shared" si="9"/>
        <v>24750</v>
      </c>
      <c r="O34" s="49">
        <v>2250</v>
      </c>
      <c r="P34" s="49" t="str">
        <f t="shared" si="5"/>
        <v>Great sales</v>
      </c>
      <c r="Q34" s="49" t="str">
        <f t="shared" si="6"/>
        <v>Better result</v>
      </c>
      <c r="R34" s="49" t="str">
        <f t="shared" si="7"/>
        <v>NiceDeal</v>
      </c>
      <c r="S34" s="50">
        <f t="shared" si="10"/>
        <v>4500</v>
      </c>
      <c r="T34" s="50">
        <f t="shared" si="11"/>
        <v>6133.333333333333</v>
      </c>
      <c r="U34" s="49"/>
      <c r="V34" s="49"/>
      <c r="W34" s="49"/>
    </row>
    <row r="35" spans="1:23" s="51" customFormat="1" x14ac:dyDescent="0.55000000000000004">
      <c r="B35" s="52" t="s">
        <v>88</v>
      </c>
      <c r="C35" s="52" t="s">
        <v>26</v>
      </c>
      <c r="D35" s="53">
        <v>42</v>
      </c>
      <c r="E35" s="52" t="s">
        <v>9</v>
      </c>
      <c r="F35" s="67">
        <v>200</v>
      </c>
      <c r="G35" s="55">
        <v>50</v>
      </c>
      <c r="H35" s="68">
        <v>250</v>
      </c>
      <c r="I35" s="53">
        <v>15</v>
      </c>
      <c r="J35" s="57">
        <v>400</v>
      </c>
      <c r="K35" s="55">
        <f t="shared" si="0"/>
        <v>6000</v>
      </c>
      <c r="L35" s="58">
        <f t="shared" si="8"/>
        <v>3750</v>
      </c>
      <c r="M35" s="59">
        <f t="shared" si="4"/>
        <v>2250</v>
      </c>
      <c r="N35" s="49">
        <f t="shared" si="9"/>
        <v>22500</v>
      </c>
      <c r="O35" s="49">
        <v>2250</v>
      </c>
      <c r="P35" s="49" t="str">
        <f t="shared" si="5"/>
        <v>Great sales</v>
      </c>
      <c r="Q35" s="49" t="str">
        <f t="shared" si="6"/>
        <v>Better result</v>
      </c>
      <c r="R35" s="49" t="str">
        <f t="shared" si="7"/>
        <v>NiceDeal</v>
      </c>
      <c r="S35" s="50">
        <f t="shared" si="10"/>
        <v>2250</v>
      </c>
      <c r="T35" s="50">
        <f t="shared" si="11"/>
        <v>6133.333333333333</v>
      </c>
      <c r="U35" s="49"/>
      <c r="V35" s="49"/>
      <c r="W35" s="49"/>
    </row>
    <row r="36" spans="1:23" s="51" customFormat="1" x14ac:dyDescent="0.55000000000000004">
      <c r="B36" s="52" t="s">
        <v>89</v>
      </c>
      <c r="C36" s="52" t="s">
        <v>26</v>
      </c>
      <c r="D36" s="53">
        <v>42</v>
      </c>
      <c r="E36" s="52" t="s">
        <v>10</v>
      </c>
      <c r="F36" s="67">
        <v>200</v>
      </c>
      <c r="G36" s="55">
        <v>50</v>
      </c>
      <c r="H36" s="68">
        <v>250</v>
      </c>
      <c r="I36" s="53">
        <v>15</v>
      </c>
      <c r="J36" s="57">
        <v>400</v>
      </c>
      <c r="K36" s="55">
        <f t="shared" si="0"/>
        <v>6000</v>
      </c>
      <c r="L36" s="58">
        <f t="shared" si="8"/>
        <v>3750</v>
      </c>
      <c r="M36" s="59">
        <f t="shared" si="4"/>
        <v>2250</v>
      </c>
      <c r="N36" s="49">
        <f t="shared" si="9"/>
        <v>20250</v>
      </c>
      <c r="O36" s="49">
        <v>2250</v>
      </c>
      <c r="P36" s="49" t="str">
        <f t="shared" si="5"/>
        <v>Great sales</v>
      </c>
      <c r="Q36" s="49" t="str">
        <f t="shared" si="6"/>
        <v>Better result</v>
      </c>
      <c r="R36" s="49" t="str">
        <f t="shared" si="7"/>
        <v>NiceDeal</v>
      </c>
      <c r="S36" s="50">
        <f t="shared" si="10"/>
        <v>2250</v>
      </c>
      <c r="T36" s="50">
        <f t="shared" si="11"/>
        <v>6133.333333333333</v>
      </c>
      <c r="U36" s="49"/>
      <c r="V36" s="49"/>
      <c r="W36" s="49"/>
    </row>
    <row r="37" spans="1:23" s="51" customFormat="1" x14ac:dyDescent="0.55000000000000004">
      <c r="B37" s="52" t="s">
        <v>90</v>
      </c>
      <c r="C37" s="52" t="s">
        <v>26</v>
      </c>
      <c r="D37" s="53">
        <v>42</v>
      </c>
      <c r="E37" s="52" t="s">
        <v>11</v>
      </c>
      <c r="F37" s="67">
        <v>200</v>
      </c>
      <c r="G37" s="55">
        <v>50</v>
      </c>
      <c r="H37" s="68">
        <v>250</v>
      </c>
      <c r="I37" s="53">
        <v>15</v>
      </c>
      <c r="J37" s="57">
        <v>400</v>
      </c>
      <c r="K37" s="55">
        <f t="shared" si="0"/>
        <v>6000</v>
      </c>
      <c r="L37" s="58">
        <f t="shared" si="8"/>
        <v>3750</v>
      </c>
      <c r="M37" s="59">
        <f t="shared" si="4"/>
        <v>2250</v>
      </c>
      <c r="N37" s="49">
        <f t="shared" si="9"/>
        <v>18000</v>
      </c>
      <c r="O37" s="49">
        <v>2250</v>
      </c>
      <c r="P37" s="49" t="str">
        <f t="shared" si="5"/>
        <v>Great sales</v>
      </c>
      <c r="Q37" s="49" t="str">
        <f t="shared" si="6"/>
        <v>Better result</v>
      </c>
      <c r="R37" s="49" t="str">
        <f t="shared" si="7"/>
        <v>NiceDeal</v>
      </c>
      <c r="S37" s="50">
        <f t="shared" si="10"/>
        <v>2250</v>
      </c>
      <c r="T37" s="50">
        <f t="shared" si="11"/>
        <v>6133.333333333333</v>
      </c>
      <c r="U37" s="49"/>
      <c r="V37" s="49"/>
      <c r="W37" s="49"/>
    </row>
    <row r="38" spans="1:23" s="51" customFormat="1" x14ac:dyDescent="0.55000000000000004">
      <c r="B38" s="52" t="s">
        <v>91</v>
      </c>
      <c r="C38" s="52" t="s">
        <v>26</v>
      </c>
      <c r="D38" s="53">
        <v>42</v>
      </c>
      <c r="E38" s="52" t="s">
        <v>12</v>
      </c>
      <c r="F38" s="67">
        <v>200</v>
      </c>
      <c r="G38" s="55">
        <v>50</v>
      </c>
      <c r="H38" s="68">
        <v>250</v>
      </c>
      <c r="I38" s="53">
        <v>15</v>
      </c>
      <c r="J38" s="57">
        <v>400</v>
      </c>
      <c r="K38" s="55">
        <f t="shared" si="0"/>
        <v>6000</v>
      </c>
      <c r="L38" s="58">
        <f t="shared" si="8"/>
        <v>3750</v>
      </c>
      <c r="M38" s="59">
        <f t="shared" si="4"/>
        <v>2250</v>
      </c>
      <c r="N38" s="49">
        <f t="shared" si="9"/>
        <v>15750</v>
      </c>
      <c r="O38" s="49">
        <v>2250</v>
      </c>
      <c r="P38" s="49" t="str">
        <f t="shared" si="5"/>
        <v>Great sales</v>
      </c>
      <c r="Q38" s="49" t="str">
        <f t="shared" si="6"/>
        <v>Better result</v>
      </c>
      <c r="R38" s="49" t="str">
        <f t="shared" si="7"/>
        <v>NiceDeal</v>
      </c>
      <c r="S38" s="50">
        <f t="shared" si="10"/>
        <v>2250</v>
      </c>
      <c r="T38" s="50">
        <f t="shared" si="11"/>
        <v>6133.333333333333</v>
      </c>
      <c r="U38" s="49"/>
      <c r="V38" s="49"/>
      <c r="W38" s="49"/>
    </row>
    <row r="39" spans="1:23" s="51" customFormat="1" x14ac:dyDescent="0.55000000000000004">
      <c r="B39" s="52" t="s">
        <v>92</v>
      </c>
      <c r="C39" s="52" t="s">
        <v>26</v>
      </c>
      <c r="D39" s="53">
        <v>42</v>
      </c>
      <c r="E39" s="52" t="s">
        <v>34</v>
      </c>
      <c r="F39" s="67">
        <v>200</v>
      </c>
      <c r="G39" s="55">
        <v>50</v>
      </c>
      <c r="H39" s="68">
        <v>250</v>
      </c>
      <c r="I39" s="53">
        <v>15</v>
      </c>
      <c r="J39" s="57">
        <v>400</v>
      </c>
      <c r="K39" s="55">
        <f t="shared" si="0"/>
        <v>6000</v>
      </c>
      <c r="L39" s="58">
        <f t="shared" si="8"/>
        <v>3750</v>
      </c>
      <c r="M39" s="59">
        <f t="shared" si="4"/>
        <v>2250</v>
      </c>
      <c r="N39" s="49">
        <f t="shared" si="9"/>
        <v>13500</v>
      </c>
      <c r="O39" s="49">
        <v>2250</v>
      </c>
      <c r="P39" s="49" t="str">
        <f t="shared" si="5"/>
        <v>Great sales</v>
      </c>
      <c r="Q39" s="49" t="str">
        <f t="shared" si="6"/>
        <v>Better result</v>
      </c>
      <c r="R39" s="49" t="str">
        <f t="shared" si="7"/>
        <v>NiceDeal</v>
      </c>
      <c r="S39" s="50">
        <f t="shared" si="10"/>
        <v>2250</v>
      </c>
      <c r="T39" s="50">
        <f t="shared" si="11"/>
        <v>6133.333333333333</v>
      </c>
      <c r="U39" s="49"/>
      <c r="V39" s="49"/>
      <c r="W39" s="49"/>
    </row>
    <row r="40" spans="1:23" s="51" customFormat="1" x14ac:dyDescent="0.55000000000000004">
      <c r="B40" s="52" t="s">
        <v>93</v>
      </c>
      <c r="C40" s="52" t="s">
        <v>26</v>
      </c>
      <c r="D40" s="53">
        <v>42</v>
      </c>
      <c r="E40" s="52" t="s">
        <v>35</v>
      </c>
      <c r="F40" s="67">
        <v>200</v>
      </c>
      <c r="G40" s="55">
        <v>50</v>
      </c>
      <c r="H40" s="68">
        <v>250</v>
      </c>
      <c r="I40" s="53">
        <v>15</v>
      </c>
      <c r="J40" s="57">
        <v>400</v>
      </c>
      <c r="K40" s="55">
        <f t="shared" si="0"/>
        <v>6000</v>
      </c>
      <c r="L40" s="58">
        <f t="shared" si="8"/>
        <v>3750</v>
      </c>
      <c r="M40" s="59">
        <f t="shared" si="4"/>
        <v>2250</v>
      </c>
      <c r="N40" s="49">
        <f t="shared" si="9"/>
        <v>11250</v>
      </c>
      <c r="O40" s="49">
        <v>2250</v>
      </c>
      <c r="P40" s="49" t="str">
        <f t="shared" si="5"/>
        <v>Great sales</v>
      </c>
      <c r="Q40" s="49" t="str">
        <f t="shared" si="6"/>
        <v>Better result</v>
      </c>
      <c r="R40" s="49" t="str">
        <f t="shared" si="7"/>
        <v>NiceDeal</v>
      </c>
      <c r="S40" s="50">
        <f t="shared" si="10"/>
        <v>2250</v>
      </c>
      <c r="T40" s="50">
        <f t="shared" si="11"/>
        <v>6133.333333333333</v>
      </c>
      <c r="U40" s="49"/>
      <c r="V40" s="49"/>
      <c r="W40" s="49"/>
    </row>
    <row r="41" spans="1:23" s="51" customFormat="1" x14ac:dyDescent="0.55000000000000004">
      <c r="B41" s="52" t="s">
        <v>94</v>
      </c>
      <c r="C41" s="52" t="s">
        <v>26</v>
      </c>
      <c r="D41" s="53">
        <v>42</v>
      </c>
      <c r="E41" s="52" t="s">
        <v>36</v>
      </c>
      <c r="F41" s="67">
        <v>200</v>
      </c>
      <c r="G41" s="55">
        <v>50</v>
      </c>
      <c r="H41" s="68">
        <v>250</v>
      </c>
      <c r="I41" s="53">
        <v>15</v>
      </c>
      <c r="J41" s="57">
        <v>400</v>
      </c>
      <c r="K41" s="55">
        <f t="shared" si="0"/>
        <v>6000</v>
      </c>
      <c r="L41" s="58">
        <f t="shared" si="8"/>
        <v>3750</v>
      </c>
      <c r="M41" s="59">
        <f t="shared" si="4"/>
        <v>2250</v>
      </c>
      <c r="N41" s="49">
        <f t="shared" si="9"/>
        <v>9000</v>
      </c>
      <c r="O41" s="49">
        <v>2250</v>
      </c>
      <c r="P41" s="49" t="str">
        <f t="shared" si="5"/>
        <v>Great sales</v>
      </c>
      <c r="Q41" s="49" t="str">
        <f t="shared" si="6"/>
        <v>Better result</v>
      </c>
      <c r="R41" s="49" t="str">
        <f t="shared" si="7"/>
        <v>NiceDeal</v>
      </c>
      <c r="S41" s="50">
        <f t="shared" si="10"/>
        <v>2250</v>
      </c>
      <c r="T41" s="50">
        <f t="shared" si="11"/>
        <v>6133.333333333333</v>
      </c>
      <c r="U41" s="49"/>
      <c r="V41" s="49"/>
      <c r="W41" s="49"/>
    </row>
    <row r="42" spans="1:23" s="51" customFormat="1" ht="22.2" thickBot="1" x14ac:dyDescent="0.6">
      <c r="B42" s="52" t="s">
        <v>95</v>
      </c>
      <c r="C42" s="52" t="s">
        <v>26</v>
      </c>
      <c r="D42" s="53">
        <v>42</v>
      </c>
      <c r="E42" s="52" t="s">
        <v>37</v>
      </c>
      <c r="F42" s="67">
        <v>200</v>
      </c>
      <c r="G42" s="55">
        <v>50</v>
      </c>
      <c r="H42" s="68">
        <v>250</v>
      </c>
      <c r="I42" s="53">
        <v>20</v>
      </c>
      <c r="J42" s="57">
        <v>400</v>
      </c>
      <c r="K42" s="70">
        <f t="shared" si="0"/>
        <v>8000</v>
      </c>
      <c r="L42" s="71">
        <f t="shared" si="8"/>
        <v>5000</v>
      </c>
      <c r="M42" s="72">
        <f t="shared" si="4"/>
        <v>3000</v>
      </c>
      <c r="N42" s="49">
        <f t="shared" si="9"/>
        <v>6750</v>
      </c>
      <c r="O42" s="49">
        <v>3000</v>
      </c>
      <c r="P42" s="49" t="str">
        <f t="shared" si="5"/>
        <v>Great sales</v>
      </c>
      <c r="Q42" s="49" t="str">
        <f t="shared" si="6"/>
        <v>Better result</v>
      </c>
      <c r="R42" s="49" t="str">
        <f t="shared" si="7"/>
        <v>NiceDeal</v>
      </c>
      <c r="S42" s="50">
        <f t="shared" si="10"/>
        <v>0</v>
      </c>
      <c r="T42" s="50">
        <f t="shared" si="11"/>
        <v>6133.333333333333</v>
      </c>
      <c r="U42" s="49"/>
      <c r="V42" s="49"/>
      <c r="W42" s="49"/>
    </row>
    <row r="43" spans="1:23" ht="22.2" thickBot="1" x14ac:dyDescent="0.6">
      <c r="K43" s="24">
        <f>SUM(K2:K42)</f>
        <v>228100</v>
      </c>
      <c r="L43" s="23">
        <f>SUM(L4:L42)</f>
        <v>139940</v>
      </c>
      <c r="M43" s="22">
        <f>SUM(M4:M42)</f>
        <v>88160</v>
      </c>
    </row>
    <row r="45" spans="1:23" x14ac:dyDescent="0.55000000000000004">
      <c r="K45" s="1"/>
    </row>
    <row r="47" spans="1:23" ht="22.2" thickBot="1" x14ac:dyDescent="0.6">
      <c r="A47" s="76" t="s">
        <v>202</v>
      </c>
      <c r="B47" s="12" t="s">
        <v>203</v>
      </c>
      <c r="C47" s="10" t="s">
        <v>0</v>
      </c>
      <c r="D47" s="10" t="s">
        <v>1</v>
      </c>
      <c r="E47" s="12" t="s">
        <v>200</v>
      </c>
      <c r="F47" s="10" t="s">
        <v>4</v>
      </c>
      <c r="G47" s="10" t="s">
        <v>199</v>
      </c>
      <c r="H47" s="10" t="s">
        <v>198</v>
      </c>
      <c r="I47" s="13" t="s">
        <v>197</v>
      </c>
      <c r="J47" s="10" t="s">
        <v>196</v>
      </c>
      <c r="K47" s="9" t="s">
        <v>195</v>
      </c>
      <c r="L47" s="10" t="s">
        <v>194</v>
      </c>
      <c r="M47" s="10" t="s">
        <v>193</v>
      </c>
      <c r="N47" s="10" t="s">
        <v>41</v>
      </c>
    </row>
    <row r="48" spans="1:23" ht="22.8" thickTop="1" thickBot="1" x14ac:dyDescent="0.6">
      <c r="A48" s="11" t="s">
        <v>47</v>
      </c>
      <c r="B48" s="14" t="s">
        <v>79</v>
      </c>
      <c r="C48" s="14" t="str" cm="1">
        <f t="array" ref="C48:N48">INDEX(B3:M42,MATCH(B48,B3:B42,0),)</f>
        <v>ID -123</v>
      </c>
      <c r="D48" s="14" t="str">
        <v>T Shirt (XL)</v>
      </c>
      <c r="E48" s="14">
        <v>42</v>
      </c>
      <c r="F48" s="14" t="str">
        <v>Preetam.S</v>
      </c>
      <c r="G48" s="73">
        <v>200</v>
      </c>
      <c r="H48" s="73">
        <v>50</v>
      </c>
      <c r="I48" s="73">
        <v>250</v>
      </c>
      <c r="J48" s="14">
        <v>20</v>
      </c>
      <c r="K48" s="73">
        <v>400</v>
      </c>
      <c r="L48" s="73">
        <v>8000</v>
      </c>
      <c r="M48" s="73">
        <v>5000</v>
      </c>
      <c r="N48" s="73">
        <v>3000</v>
      </c>
    </row>
    <row r="49" spans="1:14" ht="22.8" thickTop="1" thickBot="1" x14ac:dyDescent="0.6">
      <c r="A49" s="77"/>
      <c r="B49" s="14"/>
      <c r="C49" s="14"/>
      <c r="D49" s="14"/>
      <c r="E49" s="14"/>
      <c r="F49" s="14"/>
      <c r="G49" s="14"/>
      <c r="H49" s="14"/>
      <c r="I49" s="14"/>
      <c r="J49" s="14"/>
      <c r="K49" s="14"/>
      <c r="L49" s="14"/>
      <c r="M49" s="14"/>
      <c r="N49" s="14"/>
    </row>
    <row r="50" spans="1:14" ht="22.8" thickTop="1" thickBot="1" x14ac:dyDescent="0.6">
      <c r="A50" s="76" t="s">
        <v>202</v>
      </c>
      <c r="B50" s="12" t="s">
        <v>203</v>
      </c>
      <c r="C50" s="10" t="s">
        <v>1</v>
      </c>
      <c r="D50" s="12" t="s">
        <v>200</v>
      </c>
      <c r="E50" s="10" t="s">
        <v>4</v>
      </c>
      <c r="F50" s="10" t="s">
        <v>199</v>
      </c>
      <c r="G50" s="10" t="s">
        <v>201</v>
      </c>
      <c r="H50" s="13" t="s">
        <v>197</v>
      </c>
      <c r="I50" s="13" t="s">
        <v>196</v>
      </c>
      <c r="J50" s="9" t="s">
        <v>195</v>
      </c>
      <c r="K50" s="9" t="s">
        <v>194</v>
      </c>
      <c r="L50" s="9" t="s">
        <v>193</v>
      </c>
      <c r="M50" s="9" t="s">
        <v>41</v>
      </c>
      <c r="N50" s="14"/>
    </row>
    <row r="51" spans="1:14" ht="22.8" thickTop="1" thickBot="1" x14ac:dyDescent="0.6">
      <c r="A51" s="11" t="s">
        <v>48</v>
      </c>
      <c r="B51" s="14" t="s">
        <v>86</v>
      </c>
      <c r="C51" s="14" t="str" cm="1">
        <f t="array" ref="C51:M51">_xlfn.XLOOKUP(B51,B4:B42,C4:M42,"NO MATCH",0)</f>
        <v>T Shirt (XL)</v>
      </c>
      <c r="D51" s="14">
        <v>42</v>
      </c>
      <c r="E51" s="14" t="str">
        <v>Sethi</v>
      </c>
      <c r="F51" s="73">
        <v>200</v>
      </c>
      <c r="G51" s="73">
        <v>50</v>
      </c>
      <c r="H51" s="73">
        <v>250</v>
      </c>
      <c r="I51" s="14">
        <v>25</v>
      </c>
      <c r="J51" s="73">
        <v>400</v>
      </c>
      <c r="K51" s="73">
        <v>10000</v>
      </c>
      <c r="L51" s="73">
        <v>6250</v>
      </c>
      <c r="M51" s="73">
        <v>3750</v>
      </c>
      <c r="N51" s="14"/>
    </row>
    <row r="52" spans="1:14" ht="22.2" thickTop="1" x14ac:dyDescent="0.55000000000000004">
      <c r="A52" s="7"/>
      <c r="B52" s="8"/>
      <c r="C52" s="7"/>
      <c r="D52" s="7"/>
      <c r="E52" s="7"/>
      <c r="F52" s="7"/>
      <c r="G52" s="7"/>
      <c r="H52" s="7"/>
      <c r="I52" s="7"/>
      <c r="J52" s="7"/>
      <c r="K52" s="7"/>
      <c r="L52" s="7"/>
      <c r="M52" s="7"/>
      <c r="N52" s="7"/>
    </row>
    <row r="54" spans="1:14" ht="22.2" thickBot="1" x14ac:dyDescent="0.6">
      <c r="A54" s="76" t="s">
        <v>202</v>
      </c>
    </row>
    <row r="55" spans="1:14" ht="22.2" thickBot="1" x14ac:dyDescent="0.6">
      <c r="A55" s="84" t="s">
        <v>52</v>
      </c>
      <c r="B55" s="75" t="s">
        <v>0</v>
      </c>
      <c r="C55" s="15" t="s">
        <v>1</v>
      </c>
      <c r="D55" s="16" t="s">
        <v>41</v>
      </c>
      <c r="E55" s="11"/>
      <c r="F55" s="19" t="s">
        <v>4</v>
      </c>
      <c r="G55" s="15" t="s">
        <v>0</v>
      </c>
      <c r="H55" s="16" t="s">
        <v>49</v>
      </c>
      <c r="I55" s="11"/>
      <c r="J55" s="19" t="s">
        <v>50</v>
      </c>
      <c r="K55" s="15" t="s">
        <v>51</v>
      </c>
      <c r="L55" s="16" t="s">
        <v>43</v>
      </c>
    </row>
    <row r="56" spans="1:14" ht="22.8" thickTop="1" thickBot="1" x14ac:dyDescent="0.6">
      <c r="A56" s="85"/>
      <c r="B56" s="18" t="s">
        <v>79</v>
      </c>
      <c r="C56" s="18" t="str" cm="1">
        <f t="array" ref="C56:D56">_xlfn.XLOOKUP(B56,B4:B42,CHOOSE({1,2},C4:C42,M4:M42))</f>
        <v>T Shirt (XL)</v>
      </c>
      <c r="D56" s="74">
        <v>3000</v>
      </c>
      <c r="E56" s="11"/>
      <c r="F56" s="17" t="s">
        <v>24</v>
      </c>
      <c r="G56" s="18" t="str" cm="1">
        <f t="array" ref="G56:H56">_xlfn.XLOOKUP(F56,E4:E42,CHOOSE({1,2},Product_ID,K4:K42))</f>
        <v>ID -119</v>
      </c>
      <c r="H56" s="74">
        <v>5000</v>
      </c>
      <c r="I56" s="11"/>
      <c r="J56" s="17">
        <v>15</v>
      </c>
      <c r="K56" s="18" cm="1">
        <f t="array" ref="K56:L56">_xlfn.XLOOKUP(J56,I4:I42,CHOOSE({1,2},H4:H42,J4:J42))</f>
        <v>130</v>
      </c>
      <c r="L56" s="74">
        <v>250</v>
      </c>
    </row>
  </sheetData>
  <dataConsolidate/>
  <mergeCells count="2">
    <mergeCell ref="E1:I2"/>
    <mergeCell ref="A55:A56"/>
  </mergeCells>
  <phoneticPr fontId="3" type="noConversion"/>
  <dataValidations count="4">
    <dataValidation type="list" allowBlank="1" showInputMessage="1" showErrorMessage="1" sqref="B56 B51 B48" xr:uid="{16B5630A-5124-4678-AC55-63E40F95E118}">
      <formula1>Product_ID</formula1>
    </dataValidation>
    <dataValidation type="list" allowBlank="1" showInputMessage="1" showErrorMessage="1" sqref="F56 U4" xr:uid="{6E917EC7-3D0F-4BE5-8710-5E5EDC2DF1C6}">
      <formula1>$E$4:$E$42</formula1>
    </dataValidation>
    <dataValidation type="list" allowBlank="1" showInputMessage="1" showErrorMessage="1" sqref="J56" xr:uid="{9A29C46A-1972-4C15-A327-54AEDD751F1F}">
      <formula1>$I$4:$I$42</formula1>
    </dataValidation>
    <dataValidation type="list" allowBlank="1" showDropDown="1" showInputMessage="1" showErrorMessage="1" sqref="B4:B42" xr:uid="{59C31050-9295-4E3B-9D56-0C4514A660C4}">
      <formula1>$A$8</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NUI">
                <anchor moveWithCells="1" sizeWithCells="1">
                  <from>
                    <xdr:col>0</xdr:col>
                    <xdr:colOff>45720</xdr:colOff>
                    <xdr:row>0</xdr:row>
                    <xdr:rowOff>38100</xdr:rowOff>
                  </from>
                  <to>
                    <xdr:col>0</xdr:col>
                    <xdr:colOff>426720</xdr:colOff>
                    <xdr:row>1</xdr:row>
                    <xdr:rowOff>236220</xdr:rowOff>
                  </to>
                </anchor>
              </controlPr>
            </control>
          </mc:Choice>
        </mc:AlternateContent>
        <mc:AlternateContent xmlns:mc="http://schemas.openxmlformats.org/markup-compatibility/2006">
          <mc:Choice Requires="x14">
            <control shapeId="2051" r:id="rId5" name="Button 3">
              <controlPr defaultSize="0" print="0" autoFill="0" autoPict="0" macro="[0]!CenterContent">
                <anchor moveWithCells="1" sizeWithCells="1">
                  <from>
                    <xdr:col>0</xdr:col>
                    <xdr:colOff>144780</xdr:colOff>
                    <xdr:row>2</xdr:row>
                    <xdr:rowOff>213360</xdr:rowOff>
                  </from>
                  <to>
                    <xdr:col>0</xdr:col>
                    <xdr:colOff>464820</xdr:colOff>
                    <xdr:row>4</xdr:row>
                    <xdr:rowOff>213360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85F80-E5AC-4C41-A21E-277EEE4C1869}">
  <sheetPr codeName="Sheet4"/>
  <dimension ref="A1:C45"/>
  <sheetViews>
    <sheetView topLeftCell="A40" workbookViewId="0">
      <selection activeCell="C9" sqref="C9"/>
    </sheetView>
  </sheetViews>
  <sheetFormatPr defaultRowHeight="21.6" x14ac:dyDescent="0.55000000000000004"/>
  <cols>
    <col min="1" max="1" width="43.75" customWidth="1"/>
    <col min="2" max="2" width="50.08203125" style="31" customWidth="1"/>
    <col min="3" max="3" width="64.58203125" style="31" customWidth="1"/>
  </cols>
  <sheetData>
    <row r="1" spans="1:3" ht="27.6" thickBot="1" x14ac:dyDescent="0.6">
      <c r="A1" s="34" t="s">
        <v>109</v>
      </c>
      <c r="B1" s="35" t="s">
        <v>110</v>
      </c>
      <c r="C1" s="36" t="s">
        <v>111</v>
      </c>
    </row>
    <row r="2" spans="1:3" ht="25.2" thickBot="1" x14ac:dyDescent="0.6">
      <c r="A2" s="30" t="s">
        <v>112</v>
      </c>
      <c r="B2" s="37" t="s">
        <v>113</v>
      </c>
      <c r="C2" s="37" t="s">
        <v>114</v>
      </c>
    </row>
    <row r="3" spans="1:3" ht="22.8" thickTop="1" thickBot="1" x14ac:dyDescent="0.6">
      <c r="A3" s="29"/>
      <c r="B3" s="37" t="s">
        <v>115</v>
      </c>
      <c r="C3" s="37" t="s">
        <v>116</v>
      </c>
    </row>
    <row r="4" spans="1:3" ht="22.8" thickTop="1" thickBot="1" x14ac:dyDescent="0.6">
      <c r="A4" s="29"/>
      <c r="B4" s="37" t="s">
        <v>117</v>
      </c>
      <c r="C4" s="37" t="s">
        <v>118</v>
      </c>
    </row>
    <row r="5" spans="1:3" ht="22.8" thickTop="1" thickBot="1" x14ac:dyDescent="0.6">
      <c r="A5" s="29"/>
      <c r="B5" s="37" t="s">
        <v>119</v>
      </c>
      <c r="C5" s="37" t="s">
        <v>120</v>
      </c>
    </row>
    <row r="6" spans="1:3" ht="22.8" thickTop="1" thickBot="1" x14ac:dyDescent="0.6">
      <c r="A6" s="29"/>
      <c r="B6" s="37" t="s">
        <v>121</v>
      </c>
      <c r="C6" s="37" t="s">
        <v>122</v>
      </c>
    </row>
    <row r="7" spans="1:3" ht="22.8" thickTop="1" thickBot="1" x14ac:dyDescent="0.6">
      <c r="A7" s="29"/>
      <c r="B7" s="37" t="s">
        <v>123</v>
      </c>
      <c r="C7" s="37" t="s">
        <v>124</v>
      </c>
    </row>
    <row r="8" spans="1:3" ht="22.8" thickTop="1" thickBot="1" x14ac:dyDescent="0.6">
      <c r="A8" s="29"/>
      <c r="B8" s="37" t="s">
        <v>125</v>
      </c>
      <c r="C8" s="37" t="s">
        <v>126</v>
      </c>
    </row>
    <row r="9" spans="1:3" s="33" customFormat="1" ht="22.8" thickTop="1" thickBot="1" x14ac:dyDescent="0.6">
      <c r="A9" s="32"/>
      <c r="B9" s="38"/>
      <c r="C9" s="38"/>
    </row>
    <row r="10" spans="1:3" ht="25.8" thickTop="1" thickBot="1" x14ac:dyDescent="0.6">
      <c r="A10" s="30" t="s">
        <v>127</v>
      </c>
      <c r="B10" s="37" t="s">
        <v>128</v>
      </c>
      <c r="C10" s="37" t="s">
        <v>129</v>
      </c>
    </row>
    <row r="11" spans="1:3" ht="22.8" thickTop="1" thickBot="1" x14ac:dyDescent="0.6">
      <c r="A11" s="29"/>
      <c r="B11" s="37" t="s">
        <v>130</v>
      </c>
      <c r="C11" s="37" t="s">
        <v>131</v>
      </c>
    </row>
    <row r="12" spans="1:3" ht="22.8" thickTop="1" thickBot="1" x14ac:dyDescent="0.6">
      <c r="A12" s="29"/>
      <c r="B12" s="37" t="s">
        <v>132</v>
      </c>
      <c r="C12" s="37" t="s">
        <v>133</v>
      </c>
    </row>
    <row r="13" spans="1:3" ht="22.8" thickTop="1" thickBot="1" x14ac:dyDescent="0.6">
      <c r="A13" s="29"/>
      <c r="B13" s="37" t="s">
        <v>134</v>
      </c>
      <c r="C13" s="37" t="s">
        <v>135</v>
      </c>
    </row>
    <row r="14" spans="1:3" ht="22.8" thickTop="1" thickBot="1" x14ac:dyDescent="0.6">
      <c r="A14" s="29"/>
      <c r="B14" s="37" t="s">
        <v>136</v>
      </c>
      <c r="C14" s="37" t="s">
        <v>137</v>
      </c>
    </row>
    <row r="15" spans="1:3" s="33" customFormat="1" ht="22.8" thickTop="1" thickBot="1" x14ac:dyDescent="0.6">
      <c r="A15" s="32"/>
      <c r="B15" s="38"/>
      <c r="C15" s="38"/>
    </row>
    <row r="16" spans="1:3" ht="25.8" thickTop="1" thickBot="1" x14ac:dyDescent="0.6">
      <c r="A16" s="30" t="s">
        <v>138</v>
      </c>
      <c r="B16" s="37" t="s">
        <v>139</v>
      </c>
      <c r="C16" s="37" t="s">
        <v>140</v>
      </c>
    </row>
    <row r="17" spans="1:3" ht="22.8" thickTop="1" thickBot="1" x14ac:dyDescent="0.6">
      <c r="A17" s="29"/>
      <c r="B17" s="37" t="s">
        <v>141</v>
      </c>
      <c r="C17" s="37" t="s">
        <v>142</v>
      </c>
    </row>
    <row r="18" spans="1:3" ht="22.8" thickTop="1" thickBot="1" x14ac:dyDescent="0.6">
      <c r="A18" s="29"/>
      <c r="B18" s="37" t="s">
        <v>143</v>
      </c>
      <c r="C18" s="37" t="s">
        <v>144</v>
      </c>
    </row>
    <row r="19" spans="1:3" ht="22.8" thickTop="1" thickBot="1" x14ac:dyDescent="0.6">
      <c r="A19" s="29"/>
      <c r="B19" s="37" t="s">
        <v>145</v>
      </c>
      <c r="C19" s="37" t="s">
        <v>146</v>
      </c>
    </row>
    <row r="20" spans="1:3" ht="22.8" thickTop="1" thickBot="1" x14ac:dyDescent="0.6">
      <c r="A20" s="29"/>
      <c r="B20" s="37" t="s">
        <v>147</v>
      </c>
      <c r="C20" s="37" t="s">
        <v>148</v>
      </c>
    </row>
    <row r="21" spans="1:3" s="33" customFormat="1" ht="22.8" thickTop="1" thickBot="1" x14ac:dyDescent="0.6">
      <c r="A21" s="32"/>
      <c r="B21" s="38"/>
      <c r="C21" s="38"/>
    </row>
    <row r="22" spans="1:3" ht="25.8" thickTop="1" thickBot="1" x14ac:dyDescent="0.6">
      <c r="A22" s="30" t="s">
        <v>149</v>
      </c>
      <c r="B22" s="37" t="s">
        <v>150</v>
      </c>
      <c r="C22" s="37" t="s">
        <v>151</v>
      </c>
    </row>
    <row r="23" spans="1:3" ht="22.8" thickTop="1" thickBot="1" x14ac:dyDescent="0.6">
      <c r="A23" s="29"/>
      <c r="B23" s="37" t="s">
        <v>152</v>
      </c>
      <c r="C23" s="37" t="s">
        <v>153</v>
      </c>
    </row>
    <row r="24" spans="1:3" ht="22.8" thickTop="1" thickBot="1" x14ac:dyDescent="0.6">
      <c r="A24" s="29"/>
      <c r="B24" s="37" t="s">
        <v>154</v>
      </c>
      <c r="C24" s="37" t="s">
        <v>155</v>
      </c>
    </row>
    <row r="25" spans="1:3" ht="22.8" thickTop="1" thickBot="1" x14ac:dyDescent="0.6">
      <c r="A25" s="29"/>
      <c r="B25" s="37" t="s">
        <v>156</v>
      </c>
      <c r="C25" s="37" t="s">
        <v>157</v>
      </c>
    </row>
    <row r="26" spans="1:3" ht="22.8" thickTop="1" thickBot="1" x14ac:dyDescent="0.6">
      <c r="A26" s="29"/>
      <c r="B26" s="37" t="s">
        <v>158</v>
      </c>
      <c r="C26" s="37" t="s">
        <v>159</v>
      </c>
    </row>
    <row r="27" spans="1:3" s="33" customFormat="1" ht="22.8" thickTop="1" thickBot="1" x14ac:dyDescent="0.6">
      <c r="A27" s="32"/>
      <c r="B27" s="38"/>
      <c r="C27" s="38"/>
    </row>
    <row r="28" spans="1:3" ht="25.8" thickTop="1" thickBot="1" x14ac:dyDescent="0.6">
      <c r="A28" s="30" t="s">
        <v>160</v>
      </c>
      <c r="B28" s="37" t="s">
        <v>161</v>
      </c>
      <c r="C28" s="37" t="s">
        <v>162</v>
      </c>
    </row>
    <row r="29" spans="1:3" ht="22.8" thickTop="1" thickBot="1" x14ac:dyDescent="0.6">
      <c r="A29" s="29"/>
      <c r="B29" s="37" t="s">
        <v>163</v>
      </c>
      <c r="C29" s="37" t="s">
        <v>164</v>
      </c>
    </row>
    <row r="30" spans="1:3" ht="22.8" thickTop="1" thickBot="1" x14ac:dyDescent="0.6">
      <c r="A30" s="29"/>
      <c r="B30" s="37" t="s">
        <v>165</v>
      </c>
      <c r="C30" s="37" t="s">
        <v>166</v>
      </c>
    </row>
    <row r="31" spans="1:3" ht="22.8" thickTop="1" thickBot="1" x14ac:dyDescent="0.6">
      <c r="A31" s="29"/>
      <c r="B31" s="37" t="s">
        <v>167</v>
      </c>
      <c r="C31" s="37" t="s">
        <v>168</v>
      </c>
    </row>
    <row r="32" spans="1:3" ht="22.8" thickTop="1" thickBot="1" x14ac:dyDescent="0.6">
      <c r="A32" s="29"/>
      <c r="B32" s="37" t="s">
        <v>169</v>
      </c>
      <c r="C32" s="37" t="s">
        <v>170</v>
      </c>
    </row>
    <row r="33" spans="1:3" ht="22.8" thickTop="1" thickBot="1" x14ac:dyDescent="0.6">
      <c r="A33" s="29"/>
      <c r="B33" s="37" t="s">
        <v>171</v>
      </c>
      <c r="C33" s="37" t="s">
        <v>172</v>
      </c>
    </row>
    <row r="34" spans="1:3" s="33" customFormat="1" ht="22.8" thickTop="1" thickBot="1" x14ac:dyDescent="0.6">
      <c r="A34" s="32"/>
      <c r="B34" s="38"/>
      <c r="C34" s="38"/>
    </row>
    <row r="35" spans="1:3" ht="25.8" thickTop="1" thickBot="1" x14ac:dyDescent="0.6">
      <c r="A35" s="30" t="s">
        <v>173</v>
      </c>
      <c r="B35" s="37" t="s">
        <v>174</v>
      </c>
      <c r="C35" s="37" t="s">
        <v>175</v>
      </c>
    </row>
    <row r="36" spans="1:3" ht="22.8" thickTop="1" thickBot="1" x14ac:dyDescent="0.6">
      <c r="A36" s="29"/>
      <c r="B36" s="37" t="s">
        <v>176</v>
      </c>
      <c r="C36" s="37" t="s">
        <v>177</v>
      </c>
    </row>
    <row r="37" spans="1:3" ht="22.8" thickTop="1" thickBot="1" x14ac:dyDescent="0.6">
      <c r="A37" s="29"/>
      <c r="B37" s="37" t="s">
        <v>178</v>
      </c>
      <c r="C37" s="37" t="s">
        <v>179</v>
      </c>
    </row>
    <row r="38" spans="1:3" ht="22.8" thickTop="1" thickBot="1" x14ac:dyDescent="0.6">
      <c r="A38" s="29"/>
      <c r="B38" s="37" t="s">
        <v>180</v>
      </c>
      <c r="C38" s="37" t="s">
        <v>181</v>
      </c>
    </row>
    <row r="39" spans="1:3" s="33" customFormat="1" ht="22.8" thickTop="1" thickBot="1" x14ac:dyDescent="0.6">
      <c r="A39" s="32"/>
      <c r="B39" s="38"/>
      <c r="C39" s="38"/>
    </row>
    <row r="40" spans="1:3" ht="25.8" thickTop="1" thickBot="1" x14ac:dyDescent="0.6">
      <c r="A40" s="30" t="s">
        <v>182</v>
      </c>
      <c r="B40" s="37" t="s">
        <v>183</v>
      </c>
      <c r="C40" s="37" t="s">
        <v>184</v>
      </c>
    </row>
    <row r="41" spans="1:3" ht="22.8" thickTop="1" thickBot="1" x14ac:dyDescent="0.6">
      <c r="A41" s="29"/>
      <c r="B41" s="37" t="s">
        <v>185</v>
      </c>
      <c r="C41" s="37" t="s">
        <v>186</v>
      </c>
    </row>
    <row r="42" spans="1:3" ht="22.8" thickTop="1" thickBot="1" x14ac:dyDescent="0.6">
      <c r="A42" s="29"/>
      <c r="B42" s="37" t="s">
        <v>187</v>
      </c>
      <c r="C42" s="37" t="s">
        <v>188</v>
      </c>
    </row>
    <row r="43" spans="1:3" ht="22.8" thickTop="1" thickBot="1" x14ac:dyDescent="0.6">
      <c r="A43" s="29"/>
      <c r="B43" s="37" t="s">
        <v>189</v>
      </c>
      <c r="C43" s="37" t="s">
        <v>190</v>
      </c>
    </row>
    <row r="44" spans="1:3" ht="22.8" thickTop="1" thickBot="1" x14ac:dyDescent="0.6">
      <c r="A44" s="29"/>
      <c r="B44" s="37" t="s">
        <v>191</v>
      </c>
      <c r="C44" s="37" t="s">
        <v>192</v>
      </c>
    </row>
    <row r="45" spans="1:3" ht="22.2" thickTop="1" x14ac:dyDescent="0.55000000000000004"/>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FB61EC-0D4C-4068-BB94-EC3DBFD6269A}">
  <sheetPr codeName="Sheet6"/>
  <dimension ref="A1"/>
  <sheetViews>
    <sheetView workbookViewId="0"/>
  </sheetViews>
  <sheetFormatPr defaultRowHeight="21.6" x14ac:dyDescent="0.55000000000000004"/>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Summary</vt:lpstr>
      <vt:lpstr>Sheet4</vt:lpstr>
      <vt:lpstr>Dashboard</vt:lpstr>
      <vt:lpstr>Sheet1</vt:lpstr>
      <vt:lpstr>Sheet3</vt:lpstr>
      <vt:lpstr>NewSheet</vt:lpstr>
      <vt:lpstr>Product_ID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Shubham Srivastav</dc:creator>
  <cp:lastModifiedBy>Shubham Srivastav</cp:lastModifiedBy>
  <dcterms:created xsi:type="dcterms:W3CDTF">2023-08-04T05:27:23Z</dcterms:created>
  <dcterms:modified xsi:type="dcterms:W3CDTF">2025-09-06T14:32:13Z</dcterms:modified>
</cp:coreProperties>
</file>